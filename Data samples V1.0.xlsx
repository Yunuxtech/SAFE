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D:\8&amp;^$%\研究生\论文\实验测量\"/>
    </mc:Choice>
  </mc:AlternateContent>
  <xr:revisionPtr revIDLastSave="0" documentId="8_{AE81EA36-9949-4EEF-98EA-9FB1661F1657}" xr6:coauthVersionLast="47" xr6:coauthVersionMax="47" xr10:uidLastSave="{00000000-0000-0000-0000-000000000000}"/>
  <bookViews>
    <workbookView xWindow="-30768" yWindow="-48" windowWidth="30816" windowHeight="16776" xr2:uid="{00000000-000D-0000-FFFF-FFFF00000000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6" i="2" l="1"/>
  <c r="D26" i="2"/>
  <c r="E26" i="2"/>
  <c r="B26" i="2"/>
  <c r="C16" i="2"/>
  <c r="D16" i="2"/>
  <c r="E16" i="2"/>
  <c r="B16" i="2"/>
  <c r="C6" i="2"/>
  <c r="D6" i="2"/>
  <c r="E6" i="2"/>
  <c r="B28" i="2"/>
  <c r="B27" i="2"/>
  <c r="B25" i="2"/>
  <c r="B24" i="2"/>
  <c r="B23" i="2"/>
  <c r="B15" i="2"/>
  <c r="B14" i="2"/>
  <c r="B13" i="2"/>
  <c r="B3" i="2"/>
  <c r="B5" i="2"/>
  <c r="B6" i="2" s="1"/>
  <c r="B4" i="2"/>
</calcChain>
</file>

<file path=xl/sharedStrings.xml><?xml version="1.0" encoding="utf-8"?>
<sst xmlns="http://schemas.openxmlformats.org/spreadsheetml/2006/main" count="26" uniqueCount="11">
  <si>
    <t xml:space="preserve">室内 Sf=6 </t>
    <phoneticPr fontId="1" type="noConversion"/>
  </si>
  <si>
    <t>直线测量3 主设备抬</t>
    <phoneticPr fontId="1" type="noConversion"/>
  </si>
  <si>
    <t xml:space="preserve">室内 Sf=8 </t>
    <phoneticPr fontId="1" type="noConversion"/>
  </si>
  <si>
    <t xml:space="preserve"> </t>
    <phoneticPr fontId="1" type="noConversion"/>
  </si>
  <si>
    <t>遮挡物——人体</t>
    <phoneticPr fontId="1" type="noConversion"/>
  </si>
  <si>
    <t>遮挡物——金属板</t>
    <phoneticPr fontId="1" type="noConversion"/>
  </si>
  <si>
    <t>直线测量2 放地上</t>
    <phoneticPr fontId="1" type="noConversion"/>
  </si>
  <si>
    <t>直线测量1 主从设备在空中同一水平线</t>
    <phoneticPr fontId="1" type="noConversion"/>
  </si>
  <si>
    <t xml:space="preserve">                                                  标准距离
测量方式</t>
    <phoneticPr fontId="1" type="noConversion"/>
  </si>
  <si>
    <t xml:space="preserve">室内 Sf=10 </t>
    <phoneticPr fontId="1" type="noConversion"/>
  </si>
  <si>
    <t>与标准的偏差值（%）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</si>
</sst>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4"/>
      <color theme="1"/>
      <name val="等线"/>
      <family val="3"/>
      <charset val="134"/>
      <scheme val="minor"/>
    </font>
    <font>
      <sz val="16"/>
      <color theme="1"/>
      <name val="等线"/>
      <family val="3"/>
      <charset val="134"/>
      <scheme val="minor"/>
    </font>
    <font>
      <b/>
      <sz val="14"/>
      <color theme="1"/>
      <name val="等线"/>
      <family val="3"/>
      <charset val="134"/>
      <scheme val="minor"/>
    </font>
    <font>
      <b/>
      <sz val="16"/>
      <color theme="1"/>
      <name val="等线"/>
      <family val="3"/>
      <charset val="134"/>
      <scheme val="minor"/>
    </font>
    <font>
      <sz val="16"/>
      <color rgb="FFFF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 diagonalDown="1">
      <left style="thin">
        <color auto="1"/>
      </left>
      <right/>
      <top style="thin">
        <color auto="1"/>
      </top>
      <bottom/>
      <diagonal style="thin">
        <color auto="1"/>
      </diagonal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0" borderId="0" xfId="0" applyFont="1"/>
    <xf numFmtId="0" fontId="5" fillId="0" borderId="0" xfId="0" applyFont="1"/>
    <xf numFmtId="0" fontId="5" fillId="0" borderId="1" xfId="0" applyFont="1" applyBorder="1" applyAlignment="1">
      <alignment wrapText="1"/>
    </xf>
    <xf numFmtId="0" fontId="5" fillId="0" borderId="4" xfId="0" applyFont="1" applyBorder="1" applyAlignment="1">
      <alignment horizontal="left"/>
    </xf>
    <xf numFmtId="0" fontId="3" fillId="0" borderId="9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5" fillId="0" borderId="6" xfId="0" applyFont="1" applyBorder="1" applyAlignment="1">
      <alignment horizontal="left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6" fillId="0" borderId="4" xfId="0" applyFont="1" applyBorder="1" applyAlignment="1">
      <alignment horizontal="center"/>
    </xf>
    <xf numFmtId="0" fontId="4" fillId="0" borderId="4" xfId="0" applyFont="1" applyBorder="1" applyAlignment="1">
      <alignment horizontal="right"/>
    </xf>
    <xf numFmtId="0" fontId="2" fillId="0" borderId="4" xfId="0" applyFont="1" applyBorder="1" applyAlignment="1">
      <alignment horizontal="right"/>
    </xf>
    <xf numFmtId="0" fontId="2" fillId="0" borderId="0" xfId="0" applyFont="1" applyBorder="1" applyAlignment="1">
      <alignment horizontal="right"/>
    </xf>
    <xf numFmtId="0" fontId="2" fillId="0" borderId="5" xfId="0" applyFont="1" applyBorder="1" applyAlignment="1">
      <alignment horizontal="righ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862CD-1214-4583-9443-58DD757B43E2}">
  <dimension ref="A1:G31"/>
  <sheetViews>
    <sheetView tabSelected="1" zoomScaleNormal="100" workbookViewId="0">
      <selection activeCell="J20" sqref="J20"/>
    </sheetView>
  </sheetViews>
  <sheetFormatPr defaultRowHeight="13.8" x14ac:dyDescent="0.25"/>
  <cols>
    <col min="1" max="1" width="52.77734375" customWidth="1"/>
  </cols>
  <sheetData>
    <row r="1" spans="1:7" ht="20.399999999999999" x14ac:dyDescent="0.35">
      <c r="A1" s="2" t="s">
        <v>0</v>
      </c>
      <c r="B1" s="1" t="s">
        <v>3</v>
      </c>
      <c r="C1" s="1"/>
      <c r="D1" s="1"/>
      <c r="E1" s="1"/>
      <c r="F1" s="1"/>
      <c r="G1" s="1"/>
    </row>
    <row r="2" spans="1:7" ht="40.799999999999997" x14ac:dyDescent="0.35">
      <c r="A2" s="17" t="s">
        <v>8</v>
      </c>
      <c r="B2" s="15">
        <v>1</v>
      </c>
      <c r="C2" s="15">
        <v>5</v>
      </c>
      <c r="D2" s="15">
        <v>10</v>
      </c>
      <c r="E2" s="16">
        <v>50</v>
      </c>
      <c r="F2" s="1"/>
      <c r="G2" s="1"/>
    </row>
    <row r="3" spans="1:7" ht="20.399999999999999" x14ac:dyDescent="0.35">
      <c r="A3" s="4" t="s">
        <v>7</v>
      </c>
      <c r="B3" s="5">
        <f>AVERAGE(0.6,1.2,0.6,0.6,0.6)</f>
        <v>0.72</v>
      </c>
      <c r="C3" s="6">
        <v>5.8</v>
      </c>
      <c r="D3" s="6">
        <v>9.9</v>
      </c>
      <c r="E3" s="7">
        <v>41.7</v>
      </c>
      <c r="F3" s="1"/>
      <c r="G3" s="1"/>
    </row>
    <row r="4" spans="1:7" ht="20.399999999999999" x14ac:dyDescent="0.35">
      <c r="A4" s="4" t="s">
        <v>6</v>
      </c>
      <c r="B4" s="18">
        <f>AVERAGE(5.8,4.8,5.3,3.2,4.8)</f>
        <v>4.7799999999999994</v>
      </c>
      <c r="C4" s="9">
        <v>6.8</v>
      </c>
      <c r="D4" s="9">
        <v>13.3</v>
      </c>
      <c r="E4" s="10">
        <v>45</v>
      </c>
      <c r="F4" s="1"/>
      <c r="G4" s="1"/>
    </row>
    <row r="5" spans="1:7" ht="20.399999999999999" x14ac:dyDescent="0.35">
      <c r="A5" s="4" t="s">
        <v>1</v>
      </c>
      <c r="B5" s="8">
        <f>AVERAGE(3.6,0.6,0,0.6,2.7,1.7,1.5,0.9)</f>
        <v>1.45</v>
      </c>
      <c r="C5" s="9">
        <v>6.8</v>
      </c>
      <c r="D5" s="9">
        <v>11.8</v>
      </c>
      <c r="E5" s="10">
        <v>41</v>
      </c>
      <c r="F5" s="1"/>
      <c r="G5" s="1"/>
    </row>
    <row r="6" spans="1:7" ht="20.399999999999999" x14ac:dyDescent="0.35">
      <c r="A6" s="19" t="s">
        <v>10</v>
      </c>
      <c r="B6" s="20">
        <f t="shared" ref="B6:E6" si="0">(B5-B2)/B2*100</f>
        <v>44.999999999999993</v>
      </c>
      <c r="C6" s="21">
        <f t="shared" si="0"/>
        <v>36</v>
      </c>
      <c r="D6" s="21">
        <f t="shared" si="0"/>
        <v>18.000000000000007</v>
      </c>
      <c r="E6" s="22">
        <f t="shared" si="0"/>
        <v>-18</v>
      </c>
      <c r="F6" s="1"/>
      <c r="G6" s="1"/>
    </row>
    <row r="7" spans="1:7" ht="20.399999999999999" x14ac:dyDescent="0.35">
      <c r="A7" s="4" t="s">
        <v>4</v>
      </c>
      <c r="B7" s="8">
        <v>3.5</v>
      </c>
      <c r="C7" s="9">
        <v>6.8</v>
      </c>
      <c r="D7" s="9">
        <v>13.8</v>
      </c>
      <c r="E7" s="10">
        <v>42</v>
      </c>
      <c r="F7" s="1"/>
      <c r="G7" s="1"/>
    </row>
    <row r="8" spans="1:7" ht="20.399999999999999" x14ac:dyDescent="0.35">
      <c r="A8" s="11" t="s">
        <v>5</v>
      </c>
      <c r="B8" s="12">
        <v>4</v>
      </c>
      <c r="C8" s="13">
        <v>10.8</v>
      </c>
      <c r="D8" s="13">
        <v>12.8</v>
      </c>
      <c r="E8" s="14">
        <v>39</v>
      </c>
      <c r="F8" s="1"/>
      <c r="G8" s="1"/>
    </row>
    <row r="9" spans="1:7" ht="20.399999999999999" x14ac:dyDescent="0.35">
      <c r="A9" s="1"/>
      <c r="B9" s="1"/>
      <c r="C9" s="1"/>
      <c r="D9" s="1"/>
      <c r="E9" s="1" t="s">
        <v>3</v>
      </c>
      <c r="F9" s="1"/>
      <c r="G9" s="1"/>
    </row>
    <row r="10" spans="1:7" ht="20.399999999999999" x14ac:dyDescent="0.35">
      <c r="A10" s="1"/>
      <c r="B10" s="1"/>
      <c r="C10" s="1"/>
      <c r="D10" s="1"/>
      <c r="E10" s="1"/>
      <c r="F10" s="1"/>
      <c r="G10" s="1"/>
    </row>
    <row r="11" spans="1:7" ht="20.399999999999999" x14ac:dyDescent="0.35">
      <c r="A11" s="2" t="s">
        <v>2</v>
      </c>
      <c r="B11" s="1"/>
      <c r="C11" s="1"/>
      <c r="D11" s="1"/>
      <c r="E11" s="1"/>
      <c r="F11" s="1"/>
      <c r="G11" s="1"/>
    </row>
    <row r="12" spans="1:7" ht="40.799999999999997" x14ac:dyDescent="0.35">
      <c r="A12" s="3" t="s">
        <v>8</v>
      </c>
      <c r="B12" s="15">
        <v>1</v>
      </c>
      <c r="C12" s="15">
        <v>5</v>
      </c>
      <c r="D12" s="15">
        <v>10</v>
      </c>
      <c r="E12" s="16">
        <v>50</v>
      </c>
      <c r="F12" s="1"/>
      <c r="G12" s="1"/>
    </row>
    <row r="13" spans="1:7" ht="20.399999999999999" x14ac:dyDescent="0.35">
      <c r="A13" s="4" t="s">
        <v>7</v>
      </c>
      <c r="B13" s="5">
        <f>AVERAGE(0.6,1,0.6,1.8,1,1,1,1)</f>
        <v>1</v>
      </c>
      <c r="C13" s="6">
        <v>4</v>
      </c>
      <c r="D13" s="6">
        <v>9.5</v>
      </c>
      <c r="E13" s="7">
        <v>40</v>
      </c>
      <c r="F13" s="1"/>
      <c r="G13" s="1"/>
    </row>
    <row r="14" spans="1:7" ht="20.399999999999999" x14ac:dyDescent="0.35">
      <c r="A14" s="4" t="s">
        <v>6</v>
      </c>
      <c r="B14" s="18">
        <f>AVERAGE(3.5,4.4,2.8,2.8,2.8)</f>
        <v>3.2600000000000002</v>
      </c>
      <c r="C14" s="9">
        <v>9</v>
      </c>
      <c r="D14" s="9">
        <v>16</v>
      </c>
      <c r="E14" s="10">
        <v>45</v>
      </c>
      <c r="F14" s="1"/>
      <c r="G14" s="1"/>
    </row>
    <row r="15" spans="1:7" ht="20.399999999999999" x14ac:dyDescent="0.35">
      <c r="A15" s="4" t="s">
        <v>1</v>
      </c>
      <c r="B15" s="8">
        <f>AVERAGE(1,1,1,1,1)</f>
        <v>1</v>
      </c>
      <c r="C15" s="9">
        <v>7</v>
      </c>
      <c r="D15" s="9">
        <v>12</v>
      </c>
      <c r="E15" s="10">
        <v>45</v>
      </c>
      <c r="F15" s="1"/>
      <c r="G15" s="1"/>
    </row>
    <row r="16" spans="1:7" ht="20.399999999999999" x14ac:dyDescent="0.35">
      <c r="A16" s="19" t="s">
        <v>10</v>
      </c>
      <c r="B16" s="20">
        <f>(B15-B12)/B12*100</f>
        <v>0</v>
      </c>
      <c r="C16" s="21">
        <f t="shared" ref="C16:E16" si="1">(C15-C12)/C12*100</f>
        <v>40</v>
      </c>
      <c r="D16" s="21">
        <f t="shared" si="1"/>
        <v>20</v>
      </c>
      <c r="E16" s="22">
        <f t="shared" si="1"/>
        <v>-10</v>
      </c>
      <c r="F16" s="1"/>
      <c r="G16" s="1"/>
    </row>
    <row r="17" spans="1:7" ht="20.399999999999999" x14ac:dyDescent="0.35">
      <c r="A17" s="4" t="s">
        <v>4</v>
      </c>
      <c r="B17" s="8">
        <v>1</v>
      </c>
      <c r="C17" s="9">
        <v>9</v>
      </c>
      <c r="D17" s="9">
        <v>13</v>
      </c>
      <c r="E17" s="10">
        <v>44</v>
      </c>
      <c r="F17" s="1"/>
      <c r="G17" s="1"/>
    </row>
    <row r="18" spans="1:7" ht="20.399999999999999" x14ac:dyDescent="0.35">
      <c r="A18" s="11" t="s">
        <v>5</v>
      </c>
      <c r="B18" s="12">
        <v>1.4</v>
      </c>
      <c r="C18" s="13">
        <v>7.5</v>
      </c>
      <c r="D18" s="13">
        <v>12</v>
      </c>
      <c r="E18" s="14">
        <v>44</v>
      </c>
      <c r="F18" s="1"/>
      <c r="G18" s="1"/>
    </row>
    <row r="19" spans="1:7" ht="20.399999999999999" x14ac:dyDescent="0.35">
      <c r="A19" s="1"/>
      <c r="B19" s="1"/>
      <c r="C19" s="1"/>
      <c r="D19" s="1"/>
      <c r="E19" s="1"/>
      <c r="F19" s="1"/>
      <c r="G19" s="1"/>
    </row>
    <row r="20" spans="1:7" ht="20.399999999999999" x14ac:dyDescent="0.35">
      <c r="A20" s="1"/>
      <c r="B20" s="1"/>
      <c r="C20" s="1"/>
      <c r="D20" s="1"/>
      <c r="E20" s="1"/>
      <c r="F20" s="1"/>
      <c r="G20" s="1"/>
    </row>
    <row r="21" spans="1:7" ht="20.399999999999999" x14ac:dyDescent="0.35">
      <c r="A21" s="2" t="s">
        <v>9</v>
      </c>
      <c r="B21" s="1"/>
      <c r="C21" s="1"/>
      <c r="D21" s="1"/>
      <c r="E21" s="1"/>
      <c r="F21" s="1"/>
      <c r="G21" s="1"/>
    </row>
    <row r="22" spans="1:7" ht="40.799999999999997" x14ac:dyDescent="0.35">
      <c r="A22" s="17" t="s">
        <v>8</v>
      </c>
      <c r="B22" s="15">
        <v>1</v>
      </c>
      <c r="C22" s="15">
        <v>5</v>
      </c>
      <c r="D22" s="15">
        <v>10</v>
      </c>
      <c r="E22" s="16">
        <v>50</v>
      </c>
      <c r="F22" s="1"/>
      <c r="G22" s="1"/>
    </row>
    <row r="23" spans="1:7" ht="20.399999999999999" x14ac:dyDescent="0.35">
      <c r="A23" s="4" t="s">
        <v>7</v>
      </c>
      <c r="B23" s="5">
        <f>AVERAGE(1.4,0.7,0.7,0.7,0.7)</f>
        <v>0.84000000000000008</v>
      </c>
      <c r="C23" s="6">
        <v>4</v>
      </c>
      <c r="D23" s="6">
        <v>9.6999999999999993</v>
      </c>
      <c r="E23" s="7">
        <v>40.200000000000003</v>
      </c>
      <c r="F23" s="1"/>
      <c r="G23" s="1"/>
    </row>
    <row r="24" spans="1:7" ht="20.399999999999999" x14ac:dyDescent="0.35">
      <c r="A24" s="4" t="s">
        <v>6</v>
      </c>
      <c r="B24" s="18">
        <f>AVERAGE(3.7,4.1,2.9,3.3,3.7)</f>
        <v>3.54</v>
      </c>
      <c r="C24" s="9">
        <v>7.5</v>
      </c>
      <c r="D24" s="9">
        <v>12.3</v>
      </c>
      <c r="E24" s="10">
        <v>42.7</v>
      </c>
      <c r="F24" s="1"/>
      <c r="G24" s="1"/>
    </row>
    <row r="25" spans="1:7" ht="20.399999999999999" x14ac:dyDescent="0.35">
      <c r="A25" s="4" t="s">
        <v>1</v>
      </c>
      <c r="B25" s="8">
        <f>AVERAGE(0.7,0.3,0.7,1.4,0.7)</f>
        <v>0.76</v>
      </c>
      <c r="C25" s="9">
        <v>6.6</v>
      </c>
      <c r="D25" s="9">
        <v>10.6</v>
      </c>
      <c r="E25" s="10">
        <v>42</v>
      </c>
      <c r="F25" s="1"/>
      <c r="G25" s="1"/>
    </row>
    <row r="26" spans="1:7" ht="20.399999999999999" x14ac:dyDescent="0.35">
      <c r="A26" s="19" t="s">
        <v>10</v>
      </c>
      <c r="B26" s="20">
        <f>(B25-B22)/B22*100</f>
        <v>-24</v>
      </c>
      <c r="C26" s="21">
        <f t="shared" ref="C26:E26" si="2">(C25-C22)/C22*100</f>
        <v>31.999999999999996</v>
      </c>
      <c r="D26" s="21">
        <f t="shared" si="2"/>
        <v>5.9999999999999964</v>
      </c>
      <c r="E26" s="22">
        <f t="shared" si="2"/>
        <v>-16</v>
      </c>
      <c r="F26" s="1"/>
      <c r="G26" s="1"/>
    </row>
    <row r="27" spans="1:7" ht="20.399999999999999" x14ac:dyDescent="0.35">
      <c r="A27" s="4" t="s">
        <v>4</v>
      </c>
      <c r="B27" s="8">
        <f>AVERAGE(0.7,1.2,1.2)</f>
        <v>1.0333333333333332</v>
      </c>
      <c r="C27" s="9">
        <v>7.9</v>
      </c>
      <c r="D27" s="9">
        <v>12.3</v>
      </c>
      <c r="E27" s="10">
        <v>42.3</v>
      </c>
      <c r="F27" s="1"/>
      <c r="G27" s="1"/>
    </row>
    <row r="28" spans="1:7" ht="20.399999999999999" x14ac:dyDescent="0.35">
      <c r="A28" s="11" t="s">
        <v>5</v>
      </c>
      <c r="B28" s="12">
        <f>AVERAGE(3,3.7,2.1,2.1,2.9)</f>
        <v>2.7600000000000002</v>
      </c>
      <c r="C28" s="13">
        <v>8.8000000000000007</v>
      </c>
      <c r="D28" s="13">
        <v>11.9</v>
      </c>
      <c r="E28" s="14">
        <v>44.4</v>
      </c>
      <c r="F28" s="1"/>
      <c r="G28" s="1"/>
    </row>
    <row r="29" spans="1:7" ht="20.399999999999999" x14ac:dyDescent="0.35">
      <c r="A29" s="1"/>
      <c r="B29" s="1"/>
      <c r="C29" s="1"/>
      <c r="D29" s="1"/>
      <c r="E29" s="1"/>
      <c r="F29" s="1"/>
      <c r="G29" s="1"/>
    </row>
    <row r="30" spans="1:7" ht="20.399999999999999" x14ac:dyDescent="0.35">
      <c r="A30" s="1"/>
      <c r="B30" s="1"/>
      <c r="C30" s="1"/>
      <c r="D30" s="1"/>
      <c r="E30" s="1"/>
      <c r="F30" s="1"/>
      <c r="G30" s="1"/>
    </row>
    <row r="31" spans="1:7" ht="20.399999999999999" x14ac:dyDescent="0.35">
      <c r="A31" s="1"/>
      <c r="B31" s="1"/>
      <c r="C31" s="1"/>
      <c r="D31" s="1"/>
      <c r="E31" s="1"/>
      <c r="F31" s="1"/>
      <c r="G31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周小煜</dc:creator>
  <cp:lastModifiedBy>Yu Zhou</cp:lastModifiedBy>
  <dcterms:created xsi:type="dcterms:W3CDTF">2015-06-05T18:19:34Z</dcterms:created>
  <dcterms:modified xsi:type="dcterms:W3CDTF">2024-02-29T09:08:13Z</dcterms:modified>
</cp:coreProperties>
</file>