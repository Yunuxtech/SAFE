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8&amp;^$%\研究生\论文\实验测量\户外测量极限距离\"/>
    </mc:Choice>
  </mc:AlternateContent>
  <xr:revisionPtr revIDLastSave="0" documentId="13_ncr:1_{376EEDCB-EC51-4F40-8AA2-A53FE7A40617}" xr6:coauthVersionLast="47" xr6:coauthVersionMax="47" xr10:uidLastSave="{00000000-0000-0000-0000-000000000000}"/>
  <bookViews>
    <workbookView xWindow="-108" yWindow="-108" windowWidth="30936" windowHeight="16896" xr2:uid="{2DCD8D32-EBF7-4265-AAD0-7F689A6B795D}"/>
  </bookViews>
  <sheets>
    <sheet name="SF=6" sheetId="5" r:id="rId1"/>
    <sheet name="SF=8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5" l="1"/>
  <c r="D55" i="5"/>
  <c r="C55" i="5"/>
  <c r="B54" i="5"/>
  <c r="B55" i="5" s="1"/>
  <c r="B53" i="5"/>
  <c r="B52" i="5"/>
  <c r="E97" i="4"/>
  <c r="D97" i="4"/>
  <c r="C97" i="4"/>
  <c r="B96" i="4"/>
  <c r="B97" i="4" s="1"/>
  <c r="B95" i="4"/>
  <c r="B94" i="4"/>
  <c r="E4" i="5"/>
  <c r="E3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G85" i="4" a="1"/>
  <c r="G85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<sst xmlns="http://schemas.openxmlformats.org/spreadsheetml/2006/main" count="114" uniqueCount="22">
  <si>
    <t>距离</t>
  </si>
  <si>
    <t>时间</t>
    <phoneticPr fontId="3" type="noConversion"/>
  </si>
  <si>
    <t>NIL</t>
  </si>
  <si>
    <t>RSSI</t>
  </si>
  <si>
    <t>实际距离</t>
  </si>
  <si>
    <t>误差率（%）</t>
  </si>
  <si>
    <t>误差率（%）</t>
    <phoneticPr fontId="3" type="noConversion"/>
  </si>
  <si>
    <t>SF=8（动态）</t>
    <phoneticPr fontId="3" type="noConversion"/>
  </si>
  <si>
    <t>SF=6（动态）</t>
    <phoneticPr fontId="3" type="noConversion"/>
  </si>
  <si>
    <t>距离（m）</t>
    <phoneticPr fontId="3" type="noConversion"/>
  </si>
  <si>
    <t>实际距离（m）</t>
    <phoneticPr fontId="3" type="noConversion"/>
  </si>
  <si>
    <t>有效值平均误差率：</t>
    <phoneticPr fontId="3" type="noConversion"/>
  </si>
  <si>
    <t>15m以上有效值平均误差率：</t>
    <phoneticPr fontId="3" type="noConversion"/>
  </si>
  <si>
    <t xml:space="preserve">                                                  标准距离
测量方式</t>
    <phoneticPr fontId="10" type="noConversion"/>
  </si>
  <si>
    <t>直线测量1 主从设备在空中同一水平线</t>
    <phoneticPr fontId="10" type="noConversion"/>
  </si>
  <si>
    <t>直线测量2 放地上</t>
    <phoneticPr fontId="10" type="noConversion"/>
  </si>
  <si>
    <t>直线测量3 主设备抬</t>
    <phoneticPr fontId="10" type="noConversion"/>
  </si>
  <si>
    <t>与标准的偏差值（%）</t>
    <phoneticPr fontId="10" type="noConversion"/>
  </si>
  <si>
    <t>遮挡物——人体</t>
    <phoneticPr fontId="10" type="noConversion"/>
  </si>
  <si>
    <t>遮挡物——金属板</t>
    <phoneticPr fontId="10" type="noConversion"/>
  </si>
  <si>
    <t>室内 Sf=8 （静态）</t>
    <phoneticPr fontId="10" type="noConversion"/>
  </si>
  <si>
    <t>室内 Sf=6 （静态）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</si>
</sst>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4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2" fillId="0" borderId="0" xfId="2" applyBorder="1" applyAlignment="1">
      <alignment horizontal="center" vertical="center"/>
    </xf>
    <xf numFmtId="176" fontId="2" fillId="0" borderId="11" xfId="2" applyNumberFormat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176" fontId="1" fillId="2" borderId="11" xfId="1" applyNumberFormat="1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21" fontId="1" fillId="2" borderId="10" xfId="1" applyNumberFormat="1" applyBorder="1" applyAlignment="1">
      <alignment horizontal="center" vertical="center"/>
    </xf>
    <xf numFmtId="21" fontId="7" fillId="2" borderId="10" xfId="1" applyNumberFormat="1" applyFont="1" applyBorder="1" applyAlignment="1">
      <alignment horizontal="center" vertical="center"/>
    </xf>
    <xf numFmtId="0" fontId="7" fillId="2" borderId="0" xfId="1" applyFont="1" applyBorder="1" applyAlignment="1">
      <alignment horizontal="center" vertical="center"/>
    </xf>
    <xf numFmtId="176" fontId="7" fillId="2" borderId="11" xfId="1" applyNumberFormat="1" applyFont="1" applyBorder="1" applyAlignment="1">
      <alignment horizontal="center" vertical="center"/>
    </xf>
    <xf numFmtId="21" fontId="7" fillId="2" borderId="4" xfId="1" applyNumberFormat="1" applyFont="1" applyBorder="1" applyAlignment="1">
      <alignment horizontal="center" vertical="center"/>
    </xf>
    <xf numFmtId="0" fontId="7" fillId="2" borderId="5" xfId="1" applyFont="1" applyBorder="1" applyAlignment="1">
      <alignment horizontal="center" vertical="center"/>
    </xf>
    <xf numFmtId="176" fontId="7" fillId="2" borderId="6" xfId="1" applyNumberFormat="1" applyFont="1" applyBorder="1" applyAlignment="1">
      <alignment horizontal="center" vertical="center"/>
    </xf>
    <xf numFmtId="21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1" fontId="2" fillId="0" borderId="10" xfId="2" applyNumberFormat="1" applyBorder="1" applyAlignment="1">
      <alignment horizontal="center" vertical="center"/>
    </xf>
    <xf numFmtId="21" fontId="8" fillId="0" borderId="1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1" applyNumberFormat="1" applyAlignment="1">
      <alignment horizontal="center" vertical="center"/>
    </xf>
    <xf numFmtId="176" fontId="8" fillId="0" borderId="11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9" fillId="0" borderId="12" xfId="0" applyFont="1" applyBorder="1" applyAlignment="1">
      <alignment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11" xfId="0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9" fillId="0" borderId="12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</cellXfs>
  <cellStyles count="3">
    <cellStyle name="常规" xfId="0" builtinId="0"/>
    <cellStyle name="好" xfId="1" builtinId="26"/>
    <cellStyle name="警告文本" xfId="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663F-E514-4BFC-815A-F1A8D1683074}">
  <dimension ref="A1:G57"/>
  <sheetViews>
    <sheetView tabSelected="1" workbookViewId="0">
      <selection activeCell="G12" sqref="G12"/>
    </sheetView>
  </sheetViews>
  <sheetFormatPr defaultRowHeight="13.8" x14ac:dyDescent="0.25"/>
  <cols>
    <col min="1" max="1" width="20.88671875" customWidth="1"/>
    <col min="2" max="2" width="18.88671875" customWidth="1"/>
    <col min="3" max="3" width="15.109375" customWidth="1"/>
    <col min="4" max="4" width="18.77734375" customWidth="1"/>
    <col min="5" max="5" width="20.5546875" customWidth="1"/>
    <col min="6" max="6" width="27.88671875" customWidth="1"/>
    <col min="7" max="7" width="21.109375" customWidth="1"/>
  </cols>
  <sheetData>
    <row r="1" spans="1:7" ht="17.399999999999999" x14ac:dyDescent="0.25">
      <c r="A1" s="53" t="s">
        <v>8</v>
      </c>
      <c r="B1" s="53"/>
      <c r="C1" s="53"/>
      <c r="D1" s="53"/>
      <c r="E1" s="53"/>
      <c r="F1" s="59"/>
      <c r="G1" s="59"/>
    </row>
    <row r="2" spans="1:7" ht="15.6" x14ac:dyDescent="0.25">
      <c r="A2" s="5" t="s">
        <v>1</v>
      </c>
      <c r="B2" s="6" t="s">
        <v>9</v>
      </c>
      <c r="C2" s="6" t="s">
        <v>3</v>
      </c>
      <c r="D2" s="6" t="s">
        <v>10</v>
      </c>
      <c r="E2" s="7" t="s">
        <v>5</v>
      </c>
    </row>
    <row r="3" spans="1:7" x14ac:dyDescent="0.25">
      <c r="A3" s="18">
        <v>0.60295138888888888</v>
      </c>
      <c r="B3" s="13">
        <v>157.07499999999999</v>
      </c>
      <c r="C3" s="13">
        <v>-97</v>
      </c>
      <c r="D3" s="30">
        <v>135.7073768624104</v>
      </c>
      <c r="E3" s="14">
        <f>ABS(D3-B3)/D3*100</f>
        <v>15.74536597170659</v>
      </c>
    </row>
    <row r="4" spans="1:7" x14ac:dyDescent="0.25">
      <c r="A4" s="28">
        <v>0.60298611111111111</v>
      </c>
      <c r="B4" s="29">
        <v>144.03399999999999</v>
      </c>
      <c r="C4" s="29">
        <v>-96</v>
      </c>
      <c r="D4" s="2">
        <v>131.01717764261878</v>
      </c>
      <c r="E4" s="31">
        <f>ABS(D4-B4)/D4*100</f>
        <v>9.9352028425522683</v>
      </c>
    </row>
    <row r="5" spans="1:7" x14ac:dyDescent="0.25">
      <c r="A5" s="27">
        <v>0.60310185185185183</v>
      </c>
      <c r="B5" s="11">
        <v>2414.4899999999998</v>
      </c>
      <c r="C5" s="11">
        <v>-94</v>
      </c>
      <c r="D5" s="11">
        <v>119.01206485727079</v>
      </c>
      <c r="E5" s="12">
        <v>1928.7775049493159</v>
      </c>
    </row>
    <row r="6" spans="1:7" x14ac:dyDescent="0.25">
      <c r="A6" s="2">
        <f>A5+TIME(0,0,2)</f>
        <v>0.60312500000000002</v>
      </c>
      <c r="B6" s="2">
        <v>174.54599999999999</v>
      </c>
      <c r="C6" s="2">
        <v>-95</v>
      </c>
      <c r="D6" s="2">
        <v>119.01206485727079</v>
      </c>
      <c r="E6" s="10">
        <v>46.662441500641251</v>
      </c>
    </row>
    <row r="7" spans="1:7" x14ac:dyDescent="0.25">
      <c r="A7" s="27">
        <f t="shared" ref="A7:A41" si="0">A6+TIME(0,0,2)</f>
        <v>0.60314814814814821</v>
      </c>
      <c r="B7" s="11" t="s">
        <v>2</v>
      </c>
      <c r="C7" s="11" t="s">
        <v>2</v>
      </c>
      <c r="D7" s="11">
        <v>119.01206485727079</v>
      </c>
      <c r="E7" s="12" t="e">
        <v>#VALUE!</v>
      </c>
    </row>
    <row r="8" spans="1:7" x14ac:dyDescent="0.25">
      <c r="A8" s="27">
        <f t="shared" si="0"/>
        <v>0.6031712962962964</v>
      </c>
      <c r="B8" s="11" t="s">
        <v>2</v>
      </c>
      <c r="C8" s="11" t="s">
        <v>2</v>
      </c>
      <c r="D8" s="11">
        <v>115.4681368742314</v>
      </c>
      <c r="E8" s="12" t="e">
        <v>#VALUE!</v>
      </c>
    </row>
    <row r="9" spans="1:7" x14ac:dyDescent="0.25">
      <c r="A9" s="27">
        <f t="shared" si="0"/>
        <v>0.60319444444444459</v>
      </c>
      <c r="B9" s="11" t="s">
        <v>2</v>
      </c>
      <c r="C9" s="11" t="s">
        <v>2</v>
      </c>
      <c r="D9" s="11">
        <v>115.4681368742314</v>
      </c>
      <c r="E9" s="12" t="e">
        <v>#VALUE!</v>
      </c>
    </row>
    <row r="10" spans="1:7" x14ac:dyDescent="0.25">
      <c r="A10" s="27">
        <f t="shared" si="0"/>
        <v>0.60321759259259278</v>
      </c>
      <c r="B10" s="11" t="s">
        <v>2</v>
      </c>
      <c r="C10" s="11" t="s">
        <v>2</v>
      </c>
      <c r="D10" s="11">
        <v>115.4681368742314</v>
      </c>
      <c r="E10" s="12" t="e">
        <v>#VALUE!</v>
      </c>
    </row>
    <row r="11" spans="1:7" x14ac:dyDescent="0.25">
      <c r="A11" s="27">
        <f t="shared" si="0"/>
        <v>0.60324074074074097</v>
      </c>
      <c r="B11" s="11" t="s">
        <v>2</v>
      </c>
      <c r="C11" s="11" t="s">
        <v>2</v>
      </c>
      <c r="D11" s="11">
        <v>115.4681368742314</v>
      </c>
      <c r="E11" s="12" t="e">
        <v>#VALUE!</v>
      </c>
    </row>
    <row r="12" spans="1:7" x14ac:dyDescent="0.25">
      <c r="A12" s="17">
        <f t="shared" si="0"/>
        <v>0.60326388888888915</v>
      </c>
      <c r="B12" s="2">
        <v>156.85900000000001</v>
      </c>
      <c r="C12" s="2">
        <v>-94</v>
      </c>
      <c r="D12" s="2">
        <v>115.4681368742314</v>
      </c>
      <c r="E12" s="10">
        <v>35.846134047223593</v>
      </c>
    </row>
    <row r="13" spans="1:7" x14ac:dyDescent="0.25">
      <c r="A13" s="27">
        <f t="shared" si="0"/>
        <v>0.60328703703703734</v>
      </c>
      <c r="B13" s="11" t="s">
        <v>2</v>
      </c>
      <c r="C13" s="11" t="s">
        <v>2</v>
      </c>
      <c r="D13" s="11">
        <v>112.49888888799586</v>
      </c>
      <c r="E13" s="12" t="e">
        <v>#VALUE!</v>
      </c>
    </row>
    <row r="14" spans="1:7" x14ac:dyDescent="0.25">
      <c r="A14" s="27">
        <f t="shared" si="0"/>
        <v>0.60331018518518553</v>
      </c>
      <c r="B14" s="11" t="s">
        <v>2</v>
      </c>
      <c r="C14" s="11" t="s">
        <v>2</v>
      </c>
      <c r="D14" s="11">
        <v>112.49888888799586</v>
      </c>
      <c r="E14" s="12" t="e">
        <v>#VALUE!</v>
      </c>
    </row>
    <row r="15" spans="1:7" x14ac:dyDescent="0.25">
      <c r="A15" s="17">
        <f t="shared" si="0"/>
        <v>0.60333333333333372</v>
      </c>
      <c r="B15" s="2">
        <v>127</v>
      </c>
      <c r="C15" s="2">
        <v>-94</v>
      </c>
      <c r="D15" s="2">
        <v>109.37502229691654</v>
      </c>
      <c r="E15" s="10">
        <v>16.114262043519908</v>
      </c>
    </row>
    <row r="16" spans="1:7" x14ac:dyDescent="0.25">
      <c r="A16" s="18">
        <f t="shared" si="0"/>
        <v>0.60335648148148191</v>
      </c>
      <c r="B16" s="13">
        <v>104.721</v>
      </c>
      <c r="C16" s="13">
        <v>-92</v>
      </c>
      <c r="D16" s="13">
        <v>105.11254025551486</v>
      </c>
      <c r="E16" s="14">
        <v>0.37249623552344124</v>
      </c>
    </row>
    <row r="17" spans="1:5" x14ac:dyDescent="0.25">
      <c r="A17" s="17">
        <f t="shared" si="0"/>
        <v>0.6033796296296301</v>
      </c>
      <c r="B17" s="2">
        <v>137.351</v>
      </c>
      <c r="C17" s="2">
        <v>-96</v>
      </c>
      <c r="D17" s="2">
        <v>100.28309007748449</v>
      </c>
      <c r="E17" s="10">
        <v>36.963270571214657</v>
      </c>
    </row>
    <row r="18" spans="1:5" x14ac:dyDescent="0.25">
      <c r="A18" s="17">
        <f t="shared" si="0"/>
        <v>0.60340277777777829</v>
      </c>
      <c r="B18" s="2">
        <v>196.54400000000001</v>
      </c>
      <c r="C18" s="2">
        <v>-96</v>
      </c>
      <c r="D18" s="2">
        <v>95.178022039115405</v>
      </c>
      <c r="E18" s="10">
        <v>106.50145463122371</v>
      </c>
    </row>
    <row r="19" spans="1:5" x14ac:dyDescent="0.25">
      <c r="A19" s="17">
        <f t="shared" si="0"/>
        <v>0.60342592592592648</v>
      </c>
      <c r="B19" s="2">
        <v>104.646</v>
      </c>
      <c r="C19" s="2">
        <v>-96</v>
      </c>
      <c r="D19" s="2">
        <v>90.394307915243161</v>
      </c>
      <c r="E19" s="10">
        <v>15.766138834891819</v>
      </c>
    </row>
    <row r="20" spans="1:5" x14ac:dyDescent="0.25">
      <c r="A20" s="17">
        <f t="shared" si="0"/>
        <v>0.60344907407407467</v>
      </c>
      <c r="B20" s="2">
        <v>84.92</v>
      </c>
      <c r="C20" s="2">
        <v>-93</v>
      </c>
      <c r="D20" s="2">
        <v>85.718110421951536</v>
      </c>
      <c r="E20" s="10">
        <v>0.93108727901583155</v>
      </c>
    </row>
    <row r="21" spans="1:5" x14ac:dyDescent="0.25">
      <c r="A21" s="17">
        <f t="shared" si="0"/>
        <v>0.60347222222222285</v>
      </c>
      <c r="B21" s="2">
        <v>106.5</v>
      </c>
      <c r="C21" s="2">
        <v>-90</v>
      </c>
      <c r="D21" s="2">
        <v>81.23577445365693</v>
      </c>
      <c r="E21" s="10">
        <v>31.099876521464946</v>
      </c>
    </row>
    <row r="22" spans="1:5" x14ac:dyDescent="0.25">
      <c r="A22" s="17">
        <f t="shared" si="0"/>
        <v>0.60349537037037104</v>
      </c>
      <c r="B22" s="2">
        <v>94.745000000000005</v>
      </c>
      <c r="C22" s="2">
        <v>-87</v>
      </c>
      <c r="D22" s="2">
        <v>76.655065291620247</v>
      </c>
      <c r="E22" s="10">
        <v>23.599138086387239</v>
      </c>
    </row>
    <row r="23" spans="1:5" x14ac:dyDescent="0.25">
      <c r="A23" s="17">
        <f t="shared" si="0"/>
        <v>0.60351851851851923</v>
      </c>
      <c r="B23" s="2">
        <v>99.391000000000005</v>
      </c>
      <c r="C23" s="2">
        <v>-95</v>
      </c>
      <c r="D23" s="2">
        <v>71.896300672676489</v>
      </c>
      <c r="E23" s="10">
        <v>38.242161376979745</v>
      </c>
    </row>
    <row r="24" spans="1:5" x14ac:dyDescent="0.25">
      <c r="A24" s="27">
        <f t="shared" si="0"/>
        <v>0.60354166666666742</v>
      </c>
      <c r="B24" s="11">
        <v>-1.2727318998189799E+19</v>
      </c>
      <c r="C24" s="11">
        <v>-6</v>
      </c>
      <c r="D24" s="11">
        <v>67.537240538653847</v>
      </c>
      <c r="E24" s="12">
        <v>1.8844890458480497E+19</v>
      </c>
    </row>
    <row r="25" spans="1:5" x14ac:dyDescent="0.25">
      <c r="A25" s="17">
        <f t="shared" si="0"/>
        <v>0.60356481481481561</v>
      </c>
      <c r="B25" s="2">
        <v>85.378</v>
      </c>
      <c r="C25" s="2">
        <v>-89</v>
      </c>
      <c r="D25" s="2">
        <v>63.231897340813468</v>
      </c>
      <c r="E25" s="10">
        <v>35.023625085645143</v>
      </c>
    </row>
    <row r="26" spans="1:5" x14ac:dyDescent="0.25">
      <c r="A26" s="17">
        <f t="shared" si="0"/>
        <v>0.6035879629629638</v>
      </c>
      <c r="B26" s="2">
        <v>95.376000000000005</v>
      </c>
      <c r="C26" s="2">
        <v>-85</v>
      </c>
      <c r="D26" s="2">
        <v>59.136689925944452</v>
      </c>
      <c r="E26" s="10">
        <v>61.280585909419727</v>
      </c>
    </row>
    <row r="27" spans="1:5" x14ac:dyDescent="0.25">
      <c r="A27" s="17">
        <f t="shared" si="0"/>
        <v>0.60361111111111199</v>
      </c>
      <c r="B27" s="2">
        <v>54.27</v>
      </c>
      <c r="C27" s="2">
        <v>-88</v>
      </c>
      <c r="D27" s="2">
        <v>53.235090019471357</v>
      </c>
      <c r="E27" s="10">
        <v>1.9440372508999522</v>
      </c>
    </row>
    <row r="28" spans="1:5" x14ac:dyDescent="0.25">
      <c r="A28" s="17">
        <f t="shared" si="0"/>
        <v>0.60363425925926018</v>
      </c>
      <c r="B28" s="2">
        <v>35.406999999999996</v>
      </c>
      <c r="C28" s="2">
        <v>-76</v>
      </c>
      <c r="D28" s="2">
        <v>53.235090019471357</v>
      </c>
      <c r="E28" s="10">
        <v>33.489358265291798</v>
      </c>
    </row>
    <row r="29" spans="1:5" x14ac:dyDescent="0.25">
      <c r="A29" s="17">
        <f t="shared" si="0"/>
        <v>0.60365740740740836</v>
      </c>
      <c r="B29" s="2">
        <v>35.609000000000002</v>
      </c>
      <c r="C29" s="2">
        <v>-82</v>
      </c>
      <c r="D29" s="2">
        <v>46.955270933298543</v>
      </c>
      <c r="E29" s="10">
        <v>24.163998434630013</v>
      </c>
    </row>
    <row r="30" spans="1:5" x14ac:dyDescent="0.25">
      <c r="A30" s="17">
        <f t="shared" si="0"/>
        <v>0.60368055555555655</v>
      </c>
      <c r="B30" s="2">
        <v>35.052999999999997</v>
      </c>
      <c r="C30" s="2">
        <v>-85</v>
      </c>
      <c r="D30" s="2">
        <v>42.202877811422738</v>
      </c>
      <c r="E30" s="10">
        <v>16.941683084672334</v>
      </c>
    </row>
    <row r="31" spans="1:5" x14ac:dyDescent="0.25">
      <c r="A31" s="17">
        <f t="shared" si="0"/>
        <v>0.60370370370370474</v>
      </c>
      <c r="B31" s="2">
        <v>42.29</v>
      </c>
      <c r="C31" s="2">
        <v>-75</v>
      </c>
      <c r="D31" s="2">
        <v>37.499322525207823</v>
      </c>
      <c r="E31" s="10">
        <v>12.775370732555992</v>
      </c>
    </row>
    <row r="32" spans="1:5" x14ac:dyDescent="0.25">
      <c r="A32" s="17">
        <f t="shared" si="0"/>
        <v>0.60372685185185293</v>
      </c>
      <c r="B32" s="2">
        <v>27.236000000000001</v>
      </c>
      <c r="C32" s="2">
        <v>-72</v>
      </c>
      <c r="D32" s="2">
        <v>32.791591910798616</v>
      </c>
      <c r="E32" s="10">
        <v>16.942123230586741</v>
      </c>
    </row>
    <row r="33" spans="1:7" x14ac:dyDescent="0.25">
      <c r="A33" s="17">
        <f t="shared" si="0"/>
        <v>0.60375000000000112</v>
      </c>
      <c r="B33" s="2">
        <v>24.568999999999999</v>
      </c>
      <c r="C33" s="2">
        <v>-72</v>
      </c>
      <c r="D33" s="2">
        <v>28.104055288530549</v>
      </c>
      <c r="E33" s="10">
        <v>12.578452654742783</v>
      </c>
    </row>
    <row r="34" spans="1:7" x14ac:dyDescent="0.25">
      <c r="A34" s="17">
        <f t="shared" si="0"/>
        <v>0.60377314814814931</v>
      </c>
      <c r="B34" s="2">
        <v>19.245999999999999</v>
      </c>
      <c r="C34" s="2">
        <v>-66</v>
      </c>
      <c r="D34" s="2">
        <v>23.565763600378542</v>
      </c>
      <c r="E34" s="10">
        <v>18.330675269564164</v>
      </c>
    </row>
    <row r="35" spans="1:7" x14ac:dyDescent="0.25">
      <c r="A35" s="17">
        <f t="shared" si="0"/>
        <v>0.6037962962962975</v>
      </c>
      <c r="B35" s="2">
        <v>14.72</v>
      </c>
      <c r="C35" s="2">
        <v>-66</v>
      </c>
      <c r="D35" s="2">
        <v>18.860850862130629</v>
      </c>
      <c r="E35" s="10">
        <v>21.954740496065057</v>
      </c>
    </row>
    <row r="36" spans="1:7" x14ac:dyDescent="0.25">
      <c r="A36" s="17">
        <f t="shared" si="0"/>
        <v>0.60381944444444569</v>
      </c>
      <c r="B36" s="2">
        <v>5.782</v>
      </c>
      <c r="C36" s="2">
        <v>-58</v>
      </c>
      <c r="D36" s="2">
        <v>15.663748788179888</v>
      </c>
      <c r="E36" s="10">
        <v>63.086742016935382</v>
      </c>
    </row>
    <row r="37" spans="1:7" x14ac:dyDescent="0.25">
      <c r="A37" s="17">
        <f t="shared" si="0"/>
        <v>0.60384259259259387</v>
      </c>
      <c r="B37" s="2">
        <v>3.72</v>
      </c>
      <c r="C37" s="2">
        <v>-56</v>
      </c>
      <c r="D37" s="2">
        <v>11.420680833164276</v>
      </c>
      <c r="E37" s="10">
        <v>67.427511070989993</v>
      </c>
    </row>
    <row r="38" spans="1:7" x14ac:dyDescent="0.25">
      <c r="A38" s="17">
        <f t="shared" si="0"/>
        <v>0.60386574074074206</v>
      </c>
      <c r="B38" s="2">
        <v>0.64</v>
      </c>
      <c r="C38" s="2">
        <v>-48</v>
      </c>
      <c r="D38" s="2">
        <v>8.7294026032216365</v>
      </c>
      <c r="E38" s="10">
        <v>92.668455917432368</v>
      </c>
    </row>
    <row r="39" spans="1:7" x14ac:dyDescent="0.25">
      <c r="A39" s="17">
        <f t="shared" si="0"/>
        <v>0.60388888888889025</v>
      </c>
      <c r="B39" s="2">
        <v>0.64</v>
      </c>
      <c r="C39" s="2">
        <v>-42</v>
      </c>
      <c r="D39" s="2">
        <v>8.7294026032216365</v>
      </c>
      <c r="E39" s="10">
        <v>92.668455917432368</v>
      </c>
    </row>
    <row r="40" spans="1:7" x14ac:dyDescent="0.25">
      <c r="A40" s="17">
        <f t="shared" si="0"/>
        <v>0.60391203703703844</v>
      </c>
      <c r="B40" s="2">
        <v>1.6619999999999999</v>
      </c>
      <c r="C40" s="2">
        <v>-42</v>
      </c>
      <c r="D40" s="2">
        <v>8.7294026032216365</v>
      </c>
      <c r="E40" s="10">
        <v>80.960896460582205</v>
      </c>
    </row>
    <row r="41" spans="1:7" x14ac:dyDescent="0.25">
      <c r="A41" s="25">
        <f t="shared" si="0"/>
        <v>0.60393518518518663</v>
      </c>
      <c r="B41" s="26">
        <v>0.64</v>
      </c>
      <c r="C41" s="26">
        <v>-54</v>
      </c>
      <c r="D41" s="26">
        <v>8.7294026032216365</v>
      </c>
      <c r="E41" s="32">
        <v>92.668455917432368</v>
      </c>
    </row>
    <row r="43" spans="1:7" x14ac:dyDescent="0.25">
      <c r="F43" s="4" t="s">
        <v>12</v>
      </c>
      <c r="G43" s="4">
        <v>22.90009677066065</v>
      </c>
    </row>
    <row r="44" spans="1:7" x14ac:dyDescent="0.25">
      <c r="F44" s="4" t="s">
        <v>11</v>
      </c>
      <c r="G44" s="4">
        <v>35.040784242275848</v>
      </c>
    </row>
    <row r="50" spans="1:5" ht="20.399999999999999" x14ac:dyDescent="0.35">
      <c r="A50" s="54" t="s">
        <v>21</v>
      </c>
      <c r="B50" s="54"/>
      <c r="C50" s="54"/>
      <c r="D50" s="54"/>
      <c r="E50" s="54"/>
    </row>
    <row r="51" spans="1:5" ht="61.2" x14ac:dyDescent="0.25">
      <c r="A51" s="52" t="s">
        <v>13</v>
      </c>
      <c r="B51" s="34">
        <v>1</v>
      </c>
      <c r="C51" s="34">
        <v>5</v>
      </c>
      <c r="D51" s="34">
        <v>10</v>
      </c>
      <c r="E51" s="35">
        <v>50</v>
      </c>
    </row>
    <row r="52" spans="1:5" ht="20.399999999999999" x14ac:dyDescent="0.35">
      <c r="A52" s="36" t="s">
        <v>14</v>
      </c>
      <c r="B52" s="37">
        <f>AVERAGE(0.6,1.2,0.6,0.6,0.6)</f>
        <v>0.72</v>
      </c>
      <c r="C52" s="38">
        <v>5.8</v>
      </c>
      <c r="D52" s="38">
        <v>9.9</v>
      </c>
      <c r="E52" s="39">
        <v>41.7</v>
      </c>
    </row>
    <row r="53" spans="1:5" ht="20.399999999999999" x14ac:dyDescent="0.35">
      <c r="A53" s="36" t="s">
        <v>15</v>
      </c>
      <c r="B53" s="40">
        <f>AVERAGE(5.8,4.8,5.3,3.2,4.8)</f>
        <v>4.7799999999999994</v>
      </c>
      <c r="C53" s="41">
        <v>6.8</v>
      </c>
      <c r="D53" s="41">
        <v>13.3</v>
      </c>
      <c r="E53" s="42">
        <v>45</v>
      </c>
    </row>
    <row r="54" spans="1:5" ht="20.399999999999999" x14ac:dyDescent="0.35">
      <c r="A54" s="36" t="s">
        <v>16</v>
      </c>
      <c r="B54" s="43">
        <f>AVERAGE(3.6,0.6,0,0.6,2.7,1.7,1.5,0.9)</f>
        <v>1.45</v>
      </c>
      <c r="C54" s="41">
        <v>6.8</v>
      </c>
      <c r="D54" s="41">
        <v>11.8</v>
      </c>
      <c r="E54" s="42">
        <v>41</v>
      </c>
    </row>
    <row r="55" spans="1:5" ht="17.399999999999999" x14ac:dyDescent="0.3">
      <c r="A55" s="44" t="s">
        <v>17</v>
      </c>
      <c r="B55" s="45">
        <f t="shared" ref="B55:E55" si="1">(B54-B51)/B51*100</f>
        <v>44.999999999999993</v>
      </c>
      <c r="C55" s="46">
        <f t="shared" si="1"/>
        <v>36</v>
      </c>
      <c r="D55" s="46">
        <f t="shared" si="1"/>
        <v>18.000000000000007</v>
      </c>
      <c r="E55" s="47">
        <f t="shared" si="1"/>
        <v>-18</v>
      </c>
    </row>
    <row r="56" spans="1:5" ht="20.399999999999999" x14ac:dyDescent="0.35">
      <c r="A56" s="36" t="s">
        <v>18</v>
      </c>
      <c r="B56" s="43">
        <v>3.5</v>
      </c>
      <c r="C56" s="41">
        <v>6.8</v>
      </c>
      <c r="D56" s="41">
        <v>13.8</v>
      </c>
      <c r="E56" s="42">
        <v>42</v>
      </c>
    </row>
    <row r="57" spans="1:5" ht="20.399999999999999" x14ac:dyDescent="0.35">
      <c r="A57" s="48" t="s">
        <v>19</v>
      </c>
      <c r="B57" s="49">
        <v>4</v>
      </c>
      <c r="C57" s="50">
        <v>10.8</v>
      </c>
      <c r="D57" s="50">
        <v>12.8</v>
      </c>
      <c r="E57" s="51">
        <v>39</v>
      </c>
    </row>
  </sheetData>
  <mergeCells count="2">
    <mergeCell ref="A50:E50"/>
    <mergeCell ref="A1:E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F9CC-FFDD-49CD-BC63-1B5A45B1A3B7}">
  <dimension ref="A1:G99"/>
  <sheetViews>
    <sheetView topLeftCell="A18" workbookViewId="0">
      <selection activeCell="D11" sqref="D11"/>
    </sheetView>
  </sheetViews>
  <sheetFormatPr defaultRowHeight="13.8" x14ac:dyDescent="0.25"/>
  <cols>
    <col min="1" max="1" width="22.77734375" customWidth="1"/>
    <col min="2" max="2" width="26.33203125" customWidth="1"/>
    <col min="3" max="3" width="23.88671875" customWidth="1"/>
    <col min="4" max="4" width="20.5546875" customWidth="1"/>
    <col min="5" max="5" width="18.88671875" customWidth="1"/>
    <col min="6" max="6" width="22.77734375" customWidth="1"/>
    <col min="7" max="7" width="23.33203125" customWidth="1"/>
  </cols>
  <sheetData>
    <row r="1" spans="1:7" ht="17.399999999999999" x14ac:dyDescent="0.25">
      <c r="A1" s="57" t="s">
        <v>7</v>
      </c>
      <c r="B1" s="58"/>
      <c r="C1" s="58"/>
      <c r="D1" s="58"/>
      <c r="E1" s="58"/>
      <c r="F1" s="55"/>
      <c r="G1" s="56"/>
    </row>
    <row r="2" spans="1:7" ht="15.6" x14ac:dyDescent="0.25">
      <c r="A2" s="5" t="s">
        <v>1</v>
      </c>
      <c r="B2" s="6" t="s">
        <v>0</v>
      </c>
      <c r="C2" s="6" t="s">
        <v>3</v>
      </c>
      <c r="D2" s="6" t="s">
        <v>4</v>
      </c>
      <c r="E2" s="7" t="s">
        <v>6</v>
      </c>
    </row>
    <row r="3" spans="1:7" x14ac:dyDescent="0.25">
      <c r="A3" s="16">
        <v>0.59886574074074073</v>
      </c>
      <c r="B3" s="8">
        <v>3.544</v>
      </c>
      <c r="C3" s="8">
        <v>-52</v>
      </c>
      <c r="D3" s="8">
        <v>3.3793199999999999</v>
      </c>
      <c r="E3" s="9">
        <v>4.8731697501272491</v>
      </c>
    </row>
    <row r="4" spans="1:7" x14ac:dyDescent="0.25">
      <c r="A4" s="17">
        <f>A3+TIME(0,0,2)</f>
        <v>0.59888888888888892</v>
      </c>
      <c r="B4" s="2">
        <v>5.2110000000000003</v>
      </c>
      <c r="C4" s="2">
        <v>-60</v>
      </c>
      <c r="D4" s="2">
        <v>10.24051</v>
      </c>
      <c r="E4" s="10">
        <v>49.113862493176605</v>
      </c>
    </row>
    <row r="5" spans="1:7" x14ac:dyDescent="0.25">
      <c r="A5" s="17">
        <f>A4+TIME(0,0,2)</f>
        <v>0.5989120370370371</v>
      </c>
      <c r="B5" s="2">
        <v>8.0079999999999991</v>
      </c>
      <c r="C5" s="2">
        <v>-64</v>
      </c>
      <c r="D5" s="2">
        <v>17.67429082901284</v>
      </c>
      <c r="E5" s="10">
        <v>54.6912513917976</v>
      </c>
    </row>
    <row r="6" spans="1:7" x14ac:dyDescent="0.25">
      <c r="A6" s="17">
        <f t="shared" ref="A6:A69" si="0">A5+TIME(0,0,2)</f>
        <v>0.59893518518518529</v>
      </c>
      <c r="B6" s="11">
        <v>8960224</v>
      </c>
      <c r="C6" s="11">
        <v>-82</v>
      </c>
      <c r="D6" s="11">
        <v>17.67429082901284</v>
      </c>
      <c r="E6" s="12">
        <v>50696270.715432294</v>
      </c>
    </row>
    <row r="7" spans="1:7" x14ac:dyDescent="0.25">
      <c r="A7" s="17">
        <f t="shared" si="0"/>
        <v>0.59895833333333348</v>
      </c>
      <c r="B7" s="11">
        <v>7553959</v>
      </c>
      <c r="C7" s="11">
        <v>-69</v>
      </c>
      <c r="D7" s="11">
        <v>22.573449962311585</v>
      </c>
      <c r="E7" s="12">
        <v>33463810.091776036</v>
      </c>
    </row>
    <row r="8" spans="1:7" x14ac:dyDescent="0.25">
      <c r="A8" s="19">
        <f t="shared" si="0"/>
        <v>0.59898148148148167</v>
      </c>
      <c r="B8" s="20">
        <v>22.402000000000001</v>
      </c>
      <c r="C8" s="20">
        <v>-77</v>
      </c>
      <c r="D8" s="20">
        <v>22.573449962311585</v>
      </c>
      <c r="E8" s="21">
        <v>0.75952042154759403</v>
      </c>
    </row>
    <row r="9" spans="1:7" x14ac:dyDescent="0.25">
      <c r="A9" s="17">
        <f t="shared" si="0"/>
        <v>0.59900462962962986</v>
      </c>
      <c r="B9" s="2">
        <v>22.402000000000001</v>
      </c>
      <c r="C9" s="2">
        <v>-70</v>
      </c>
      <c r="D9" s="2">
        <v>29.020712834163078</v>
      </c>
      <c r="E9" s="10">
        <v>22.806858232550208</v>
      </c>
    </row>
    <row r="10" spans="1:7" x14ac:dyDescent="0.25">
      <c r="A10" s="17">
        <f t="shared" si="0"/>
        <v>0.59902777777777805</v>
      </c>
      <c r="B10" s="2">
        <v>24.873000000000001</v>
      </c>
      <c r="C10" s="2">
        <v>-84</v>
      </c>
      <c r="D10" s="2">
        <v>30.29730300694289</v>
      </c>
      <c r="E10" s="10">
        <v>17.903583714035083</v>
      </c>
    </row>
    <row r="11" spans="1:7" x14ac:dyDescent="0.25">
      <c r="A11" s="17">
        <f t="shared" si="0"/>
        <v>0.59905092592592624</v>
      </c>
      <c r="B11" s="2">
        <v>24.068000000000001</v>
      </c>
      <c r="C11" s="2">
        <v>-69</v>
      </c>
      <c r="D11" s="2">
        <v>34.696481189537387</v>
      </c>
      <c r="E11" s="10">
        <v>30.63273515108607</v>
      </c>
    </row>
    <row r="12" spans="1:7" x14ac:dyDescent="0.25">
      <c r="A12" s="17">
        <f t="shared" si="0"/>
        <v>0.59907407407407443</v>
      </c>
      <c r="B12" s="2">
        <v>24.873000000000001</v>
      </c>
      <c r="C12" s="2">
        <v>-75</v>
      </c>
      <c r="D12" s="2">
        <v>34.696481189537387</v>
      </c>
      <c r="E12" s="10">
        <v>28.312615149283854</v>
      </c>
    </row>
    <row r="13" spans="1:7" x14ac:dyDescent="0.25">
      <c r="A13" s="17">
        <f t="shared" si="0"/>
        <v>0.59909722222222261</v>
      </c>
      <c r="B13" s="2">
        <v>27.923999999999999</v>
      </c>
      <c r="C13" s="2">
        <v>-74</v>
      </c>
      <c r="D13" s="2">
        <v>41.311583328382362</v>
      </c>
      <c r="E13" s="10">
        <v>32.40636705198532</v>
      </c>
    </row>
    <row r="14" spans="1:7" x14ac:dyDescent="0.25">
      <c r="A14" s="17">
        <f t="shared" si="0"/>
        <v>0.5991203703703708</v>
      </c>
      <c r="B14" s="2">
        <v>32.151000000000003</v>
      </c>
      <c r="C14" s="2">
        <v>-75</v>
      </c>
      <c r="D14" s="2">
        <v>45.709053861867858</v>
      </c>
      <c r="E14" s="10">
        <v>29.661637501489551</v>
      </c>
    </row>
    <row r="15" spans="1:7" x14ac:dyDescent="0.25">
      <c r="A15" s="17">
        <f t="shared" si="0"/>
        <v>0.59914351851851899</v>
      </c>
      <c r="B15" s="2">
        <v>47.398000000000003</v>
      </c>
      <c r="C15" s="2">
        <v>-86</v>
      </c>
      <c r="D15" s="2">
        <v>50.39231433552316</v>
      </c>
      <c r="E15" s="10">
        <v>5.9420059884258354</v>
      </c>
    </row>
    <row r="16" spans="1:7" x14ac:dyDescent="0.25">
      <c r="A16" s="17">
        <f t="shared" si="0"/>
        <v>0.59916666666666718</v>
      </c>
      <c r="B16" s="2">
        <v>104.497</v>
      </c>
      <c r="C16" s="2">
        <v>-83</v>
      </c>
      <c r="D16" s="2">
        <v>50.39231433552316</v>
      </c>
      <c r="E16" s="10">
        <v>107.36693953811267</v>
      </c>
    </row>
    <row r="17" spans="1:5" x14ac:dyDescent="0.25">
      <c r="A17" s="17">
        <f t="shared" si="0"/>
        <v>0.59918981481481537</v>
      </c>
      <c r="B17" s="2">
        <v>133.5</v>
      </c>
      <c r="C17" s="2">
        <v>46</v>
      </c>
      <c r="D17" s="2">
        <v>62.467281783281202</v>
      </c>
      <c r="E17" s="10">
        <v>113.71187634376953</v>
      </c>
    </row>
    <row r="18" spans="1:5" x14ac:dyDescent="0.25">
      <c r="A18" s="17">
        <f t="shared" si="0"/>
        <v>0.59921296296296356</v>
      </c>
      <c r="B18" s="2">
        <v>122.5</v>
      </c>
      <c r="C18" s="2">
        <v>-94</v>
      </c>
      <c r="D18" s="2">
        <v>68.187471897391603</v>
      </c>
      <c r="E18" s="10">
        <v>79.651769733211111</v>
      </c>
    </row>
    <row r="19" spans="1:5" x14ac:dyDescent="0.25">
      <c r="A19" s="17">
        <f t="shared" si="0"/>
        <v>0.59923611111111175</v>
      </c>
      <c r="B19" s="2">
        <v>123</v>
      </c>
      <c r="C19" s="2">
        <v>-94</v>
      </c>
      <c r="D19" s="2">
        <v>75.107321652666755</v>
      </c>
      <c r="E19" s="10">
        <v>63.765658651512801</v>
      </c>
    </row>
    <row r="20" spans="1:5" x14ac:dyDescent="0.25">
      <c r="A20" s="17">
        <f t="shared" si="0"/>
        <v>0.59925925925925994</v>
      </c>
      <c r="B20" s="2">
        <v>131</v>
      </c>
      <c r="C20" s="2">
        <v>-89</v>
      </c>
      <c r="D20" s="2">
        <v>75.107321652666755</v>
      </c>
      <c r="E20" s="10">
        <v>74.417083604456721</v>
      </c>
    </row>
    <row r="21" spans="1:5" x14ac:dyDescent="0.25">
      <c r="A21" s="17">
        <f t="shared" si="0"/>
        <v>0.59928240740740812</v>
      </c>
      <c r="B21" s="2">
        <v>109</v>
      </c>
      <c r="C21" s="2">
        <v>-87</v>
      </c>
      <c r="D21" s="2">
        <v>82.787444648201088</v>
      </c>
      <c r="E21" s="10">
        <v>31.662476675282296</v>
      </c>
    </row>
    <row r="22" spans="1:5" x14ac:dyDescent="0.25">
      <c r="A22" s="17">
        <f t="shared" si="0"/>
        <v>0.59930555555555631</v>
      </c>
      <c r="B22" s="2">
        <v>129.577</v>
      </c>
      <c r="C22" s="2">
        <v>-93</v>
      </c>
      <c r="D22" s="2">
        <v>86.773355135640656</v>
      </c>
      <c r="E22" s="10">
        <v>49.328097084007396</v>
      </c>
    </row>
    <row r="23" spans="1:5" x14ac:dyDescent="0.25">
      <c r="A23" s="17">
        <f t="shared" si="0"/>
        <v>0.5993287037037045</v>
      </c>
      <c r="B23" s="11" t="s">
        <v>2</v>
      </c>
      <c r="C23" s="11" t="s">
        <v>2</v>
      </c>
      <c r="D23" s="11">
        <v>94.65377713941092</v>
      </c>
      <c r="E23" s="15" t="e">
        <v>#VALUE!</v>
      </c>
    </row>
    <row r="24" spans="1:5" x14ac:dyDescent="0.25">
      <c r="A24" s="17">
        <f t="shared" si="0"/>
        <v>0.59935185185185269</v>
      </c>
      <c r="B24" s="2">
        <v>157</v>
      </c>
      <c r="C24" s="2">
        <v>-96</v>
      </c>
      <c r="D24" s="2">
        <v>100.10115753799286</v>
      </c>
      <c r="E24" s="10">
        <v>56.841343158705712</v>
      </c>
    </row>
    <row r="25" spans="1:5" x14ac:dyDescent="0.25">
      <c r="A25" s="17">
        <f t="shared" si="0"/>
        <v>0.59937500000000088</v>
      </c>
      <c r="B25" s="2">
        <v>152.5</v>
      </c>
      <c r="C25" s="2">
        <v>-91</v>
      </c>
      <c r="D25" s="2">
        <v>106.22466564414768</v>
      </c>
      <c r="E25" s="10">
        <v>43.563643222822243</v>
      </c>
    </row>
    <row r="26" spans="1:5" x14ac:dyDescent="0.25">
      <c r="A26" s="17">
        <f t="shared" si="0"/>
        <v>0.59939814814814907</v>
      </c>
      <c r="B26" s="11" t="s">
        <v>2</v>
      </c>
      <c r="C26" s="11" t="s">
        <v>2</v>
      </c>
      <c r="D26" s="11">
        <v>106.22466564414768</v>
      </c>
      <c r="E26" s="15" t="e">
        <v>#VALUE!</v>
      </c>
    </row>
    <row r="27" spans="1:5" x14ac:dyDescent="0.25">
      <c r="A27" s="17">
        <f t="shared" si="0"/>
        <v>0.59942129629629726</v>
      </c>
      <c r="B27" s="11" t="s">
        <v>2</v>
      </c>
      <c r="C27" s="11" t="s">
        <v>2</v>
      </c>
      <c r="D27" s="11">
        <v>114.90803127957872</v>
      </c>
      <c r="E27" s="15" t="e">
        <v>#VALUE!</v>
      </c>
    </row>
    <row r="28" spans="1:5" x14ac:dyDescent="0.25">
      <c r="A28" s="17">
        <f t="shared" si="0"/>
        <v>0.59944444444444545</v>
      </c>
      <c r="B28" s="2">
        <v>169</v>
      </c>
      <c r="C28" s="2">
        <v>-91</v>
      </c>
      <c r="D28" s="2">
        <v>120.86795871725231</v>
      </c>
      <c r="E28" s="10">
        <v>39.822002285439012</v>
      </c>
    </row>
    <row r="29" spans="1:5" x14ac:dyDescent="0.25">
      <c r="A29" s="17">
        <f t="shared" si="0"/>
        <v>0.59946759259259363</v>
      </c>
      <c r="B29" s="2">
        <v>171</v>
      </c>
      <c r="C29" s="2">
        <v>-98</v>
      </c>
      <c r="D29" s="2">
        <v>125.79897790913219</v>
      </c>
      <c r="E29" s="10">
        <v>35.931152098483395</v>
      </c>
    </row>
    <row r="30" spans="1:5" x14ac:dyDescent="0.25">
      <c r="A30" s="17">
        <f t="shared" si="0"/>
        <v>0.59949074074074182</v>
      </c>
      <c r="B30" s="2">
        <v>161</v>
      </c>
      <c r="C30" s="2">
        <v>-95</v>
      </c>
      <c r="D30" s="2">
        <v>134.68993703152199</v>
      </c>
      <c r="E30" s="10">
        <v>19.533800036093687</v>
      </c>
    </row>
    <row r="31" spans="1:5" x14ac:dyDescent="0.25">
      <c r="A31" s="17">
        <f t="shared" si="0"/>
        <v>0.59951388888889001</v>
      </c>
      <c r="B31" s="2">
        <v>163.5</v>
      </c>
      <c r="C31" s="2">
        <v>-97</v>
      </c>
      <c r="D31" s="2">
        <v>140.45753532571936</v>
      </c>
      <c r="E31" s="10">
        <v>16.405289058251974</v>
      </c>
    </row>
    <row r="32" spans="1:5" x14ac:dyDescent="0.25">
      <c r="A32" s="17">
        <f t="shared" si="0"/>
        <v>0.5995370370370382</v>
      </c>
      <c r="B32" s="2">
        <v>167.5</v>
      </c>
      <c r="C32" s="2">
        <v>-95</v>
      </c>
      <c r="D32" s="2">
        <v>146.21724898051602</v>
      </c>
      <c r="E32" s="10">
        <v>14.55556794282184</v>
      </c>
    </row>
    <row r="33" spans="1:5" x14ac:dyDescent="0.25">
      <c r="A33" s="17">
        <f t="shared" si="0"/>
        <v>0.59956018518518639</v>
      </c>
      <c r="B33" s="2">
        <v>0</v>
      </c>
      <c r="C33" s="2">
        <v>-96</v>
      </c>
      <c r="D33" s="2">
        <v>152.84986884708184</v>
      </c>
      <c r="E33" s="10">
        <v>100</v>
      </c>
    </row>
    <row r="34" spans="1:5" x14ac:dyDescent="0.25">
      <c r="A34" s="17">
        <f t="shared" si="0"/>
        <v>0.59958333333333458</v>
      </c>
      <c r="B34" s="2">
        <v>0</v>
      </c>
      <c r="C34" s="2">
        <v>-97</v>
      </c>
      <c r="D34" s="2">
        <v>159.51234884024367</v>
      </c>
      <c r="E34" s="10">
        <v>100</v>
      </c>
    </row>
    <row r="35" spans="1:5" x14ac:dyDescent="0.25">
      <c r="A35" s="17">
        <f t="shared" si="0"/>
        <v>0.59960648148148277</v>
      </c>
      <c r="B35" s="11" t="s">
        <v>2</v>
      </c>
      <c r="C35" s="11" t="s">
        <v>2</v>
      </c>
      <c r="D35" s="11">
        <v>166.45680202565026</v>
      </c>
      <c r="E35" s="15" t="e">
        <v>#VALUE!</v>
      </c>
    </row>
    <row r="36" spans="1:5" x14ac:dyDescent="0.25">
      <c r="A36" s="17">
        <f t="shared" si="0"/>
        <v>0.59962962962963096</v>
      </c>
      <c r="B36" s="11" t="s">
        <v>2</v>
      </c>
      <c r="C36" s="11" t="s">
        <v>2</v>
      </c>
      <c r="D36" s="11">
        <v>173.44369759827538</v>
      </c>
      <c r="E36" s="15" t="e">
        <v>#VALUE!</v>
      </c>
    </row>
    <row r="37" spans="1:5" x14ac:dyDescent="0.25">
      <c r="A37" s="17">
        <f t="shared" si="0"/>
        <v>0.59965277777777914</v>
      </c>
      <c r="B37" s="11" t="s">
        <v>2</v>
      </c>
      <c r="C37" s="11" t="s">
        <v>2</v>
      </c>
      <c r="D37" s="11">
        <v>180.48296286172194</v>
      </c>
      <c r="E37" s="15" t="e">
        <v>#VALUE!</v>
      </c>
    </row>
    <row r="38" spans="1:5" x14ac:dyDescent="0.25">
      <c r="A38" s="17">
        <f t="shared" si="0"/>
        <v>0.59967592592592733</v>
      </c>
      <c r="B38" s="11">
        <v>7.3805928594466598E+17</v>
      </c>
      <c r="C38" s="11">
        <v>-98</v>
      </c>
      <c r="D38" s="11">
        <v>187.21794380111766</v>
      </c>
      <c r="E38" s="15">
        <v>3.9422465120582093E+17</v>
      </c>
    </row>
    <row r="39" spans="1:5" x14ac:dyDescent="0.25">
      <c r="A39" s="17">
        <f t="shared" si="0"/>
        <v>0.59969907407407552</v>
      </c>
      <c r="B39" s="2">
        <v>183.5</v>
      </c>
      <c r="C39" s="2">
        <v>-99</v>
      </c>
      <c r="D39" s="2">
        <v>193.78094328058305</v>
      </c>
      <c r="E39" s="10">
        <v>5.3054459878941058</v>
      </c>
    </row>
    <row r="40" spans="1:5" x14ac:dyDescent="0.25">
      <c r="A40" s="17">
        <f t="shared" si="0"/>
        <v>0.59972222222222371</v>
      </c>
      <c r="B40" s="2">
        <v>0</v>
      </c>
      <c r="C40" s="2">
        <v>-98</v>
      </c>
      <c r="D40" s="2">
        <v>199.08409597728172</v>
      </c>
      <c r="E40" s="10">
        <v>100</v>
      </c>
    </row>
    <row r="41" spans="1:5" x14ac:dyDescent="0.25">
      <c r="A41" s="17">
        <f t="shared" si="0"/>
        <v>0.5997453703703719</v>
      </c>
      <c r="B41" s="11" t="s">
        <v>2</v>
      </c>
      <c r="C41" s="11" t="s">
        <v>2</v>
      </c>
      <c r="D41" s="11">
        <v>199.08409597728172</v>
      </c>
      <c r="E41" s="12" t="e">
        <v>#VALUE!</v>
      </c>
    </row>
    <row r="42" spans="1:5" x14ac:dyDescent="0.25">
      <c r="A42" s="17">
        <f t="shared" si="0"/>
        <v>0.59976851851852009</v>
      </c>
      <c r="B42" s="11" t="s">
        <v>2</v>
      </c>
      <c r="C42" s="11" t="s">
        <v>2</v>
      </c>
      <c r="D42" s="11">
        <v>199.08409597728172</v>
      </c>
      <c r="E42" s="12" t="e">
        <v>#VALUE!</v>
      </c>
    </row>
    <row r="43" spans="1:5" x14ac:dyDescent="0.25">
      <c r="A43" s="17">
        <f t="shared" si="0"/>
        <v>0.59979166666666828</v>
      </c>
      <c r="B43" s="11" t="s">
        <v>2</v>
      </c>
      <c r="C43" s="11" t="s">
        <v>2</v>
      </c>
      <c r="D43" s="11">
        <v>199.08409597728172</v>
      </c>
      <c r="E43" s="12" t="e">
        <v>#VALUE!</v>
      </c>
    </row>
    <row r="44" spans="1:5" x14ac:dyDescent="0.25">
      <c r="A44" s="17">
        <f t="shared" si="0"/>
        <v>0.59981481481481647</v>
      </c>
      <c r="B44" s="11" t="s">
        <v>2</v>
      </c>
      <c r="C44" s="11" t="s">
        <v>2</v>
      </c>
      <c r="D44" s="11">
        <v>199.08409597728172</v>
      </c>
      <c r="E44" s="12" t="e">
        <v>#VALUE!</v>
      </c>
    </row>
    <row r="45" spans="1:5" x14ac:dyDescent="0.25">
      <c r="A45" s="17">
        <f t="shared" si="0"/>
        <v>0.59983796296296465</v>
      </c>
      <c r="B45" s="11" t="s">
        <v>2</v>
      </c>
      <c r="C45" s="11" t="s">
        <v>2</v>
      </c>
      <c r="D45" s="11">
        <v>199.08409597728172</v>
      </c>
      <c r="E45" s="12" t="e">
        <v>#VALUE!</v>
      </c>
    </row>
    <row r="46" spans="1:5" x14ac:dyDescent="0.25">
      <c r="A46" s="17">
        <f t="shared" si="0"/>
        <v>0.59986111111111284</v>
      </c>
      <c r="B46" s="11" t="s">
        <v>2</v>
      </c>
      <c r="C46" s="11" t="s">
        <v>2</v>
      </c>
      <c r="D46" s="11">
        <v>196.01136730640124</v>
      </c>
      <c r="E46" s="12" t="e">
        <v>#VALUE!</v>
      </c>
    </row>
    <row r="47" spans="1:5" x14ac:dyDescent="0.25">
      <c r="A47" s="17">
        <f t="shared" si="0"/>
        <v>0.59988425925926103</v>
      </c>
      <c r="B47" s="11" t="s">
        <v>2</v>
      </c>
      <c r="C47" s="11" t="s">
        <v>2</v>
      </c>
      <c r="D47" s="11">
        <v>196.01136730640124</v>
      </c>
      <c r="E47" s="12" t="e">
        <v>#VALUE!</v>
      </c>
    </row>
    <row r="48" spans="1:5" x14ac:dyDescent="0.25">
      <c r="A48" s="17">
        <f t="shared" si="0"/>
        <v>0.59990740740740922</v>
      </c>
      <c r="B48" s="2">
        <v>223.767</v>
      </c>
      <c r="C48" s="2">
        <v>-99</v>
      </c>
      <c r="D48" s="2">
        <v>196.01136730640124</v>
      </c>
      <c r="E48" s="10">
        <v>14.160215846161453</v>
      </c>
    </row>
    <row r="49" spans="1:5" x14ac:dyDescent="0.25">
      <c r="A49" s="17">
        <f t="shared" si="0"/>
        <v>0.59993055555555741</v>
      </c>
      <c r="B49" s="11" t="s">
        <v>2</v>
      </c>
      <c r="C49" s="11" t="s">
        <v>2</v>
      </c>
      <c r="D49" s="11">
        <v>196.01136730640124</v>
      </c>
      <c r="E49" s="12" t="e">
        <v>#VALUE!</v>
      </c>
    </row>
    <row r="50" spans="1:5" x14ac:dyDescent="0.25">
      <c r="A50" s="17">
        <f t="shared" si="0"/>
        <v>0.5999537037037056</v>
      </c>
      <c r="B50" s="11" t="s">
        <v>2</v>
      </c>
      <c r="C50" s="11" t="s">
        <v>2</v>
      </c>
      <c r="D50" s="11">
        <v>196.01136730640124</v>
      </c>
      <c r="E50" s="12" t="e">
        <v>#VALUE!</v>
      </c>
    </row>
    <row r="51" spans="1:5" x14ac:dyDescent="0.25">
      <c r="A51" s="17">
        <f t="shared" si="0"/>
        <v>0.59997685185185379</v>
      </c>
      <c r="B51" s="11" t="s">
        <v>2</v>
      </c>
      <c r="C51" s="11" t="s">
        <v>2</v>
      </c>
      <c r="D51" s="11">
        <v>196.01136730640124</v>
      </c>
      <c r="E51" s="12" t="e">
        <v>#VALUE!</v>
      </c>
    </row>
    <row r="52" spans="1:5" x14ac:dyDescent="0.25">
      <c r="A52" s="17">
        <f t="shared" si="0"/>
        <v>0.60000000000000198</v>
      </c>
      <c r="B52" s="2">
        <v>216</v>
      </c>
      <c r="C52" s="2">
        <v>-91</v>
      </c>
      <c r="D52" s="2">
        <v>196.01136730640124</v>
      </c>
      <c r="E52" s="10">
        <v>10.197690556564972</v>
      </c>
    </row>
    <row r="53" spans="1:5" x14ac:dyDescent="0.25">
      <c r="A53" s="17">
        <f t="shared" si="0"/>
        <v>0.60002314814815016</v>
      </c>
      <c r="B53" s="11" t="s">
        <v>2</v>
      </c>
      <c r="C53" s="11"/>
      <c r="D53" s="11">
        <v>196.01136730640124</v>
      </c>
      <c r="E53" s="12" t="e">
        <v>#VALUE!</v>
      </c>
    </row>
    <row r="54" spans="1:5" x14ac:dyDescent="0.25">
      <c r="A54" s="17">
        <f t="shared" si="0"/>
        <v>0.60004629629629835</v>
      </c>
      <c r="B54" s="2">
        <v>201</v>
      </c>
      <c r="C54" s="2">
        <v>-96</v>
      </c>
      <c r="D54" s="2">
        <v>196.01136730640124</v>
      </c>
      <c r="E54" s="10">
        <v>2.5450731568035154</v>
      </c>
    </row>
    <row r="55" spans="1:5" x14ac:dyDescent="0.25">
      <c r="A55" s="17">
        <f t="shared" si="0"/>
        <v>0.60006944444444654</v>
      </c>
      <c r="B55" s="2">
        <v>220.51300000000001</v>
      </c>
      <c r="C55" s="2">
        <v>-97</v>
      </c>
      <c r="D55" s="2">
        <v>196.01136730640124</v>
      </c>
      <c r="E55" s="10">
        <v>12.500108044906538</v>
      </c>
    </row>
    <row r="56" spans="1:5" x14ac:dyDescent="0.25">
      <c r="A56" s="17">
        <f t="shared" si="0"/>
        <v>0.60009259259259473</v>
      </c>
      <c r="B56" s="11" t="s">
        <v>2</v>
      </c>
      <c r="C56" s="11" t="s">
        <v>2</v>
      </c>
      <c r="D56" s="11">
        <v>196.01136730640124</v>
      </c>
      <c r="E56" s="12" t="e">
        <v>#VALUE!</v>
      </c>
    </row>
    <row r="57" spans="1:5" x14ac:dyDescent="0.25">
      <c r="A57" s="17">
        <f t="shared" si="0"/>
        <v>0.60011574074074292</v>
      </c>
      <c r="B57" s="11" t="s">
        <v>2</v>
      </c>
      <c r="C57" s="11" t="s">
        <v>2</v>
      </c>
      <c r="D57" s="11">
        <v>196.01136730640124</v>
      </c>
      <c r="E57" s="12" t="e">
        <v>#VALUE!</v>
      </c>
    </row>
    <row r="58" spans="1:5" x14ac:dyDescent="0.25">
      <c r="A58" s="17">
        <f t="shared" si="0"/>
        <v>0.60013888888889111</v>
      </c>
      <c r="B58" s="11" t="s">
        <v>2</v>
      </c>
      <c r="C58" s="11" t="s">
        <v>2</v>
      </c>
      <c r="D58" s="11">
        <v>196.01136730640124</v>
      </c>
      <c r="E58" s="12" t="e">
        <v>#VALUE!</v>
      </c>
    </row>
    <row r="59" spans="1:5" x14ac:dyDescent="0.25">
      <c r="A59" s="17">
        <f t="shared" si="0"/>
        <v>0.6001620370370393</v>
      </c>
      <c r="B59" s="11" t="s">
        <v>2</v>
      </c>
      <c r="C59" s="11" t="s">
        <v>2</v>
      </c>
      <c r="D59" s="11">
        <v>196.01136730640124</v>
      </c>
      <c r="E59" s="12" t="e">
        <v>#VALUE!</v>
      </c>
    </row>
    <row r="60" spans="1:5" x14ac:dyDescent="0.25">
      <c r="A60" s="17">
        <f t="shared" si="0"/>
        <v>0.60018518518518749</v>
      </c>
      <c r="B60" s="2">
        <v>239.34</v>
      </c>
      <c r="C60" s="2">
        <v>-99</v>
      </c>
      <c r="D60" s="2">
        <v>196.01136730640124</v>
      </c>
      <c r="E60" s="10">
        <v>22.105163230593799</v>
      </c>
    </row>
    <row r="61" spans="1:5" x14ac:dyDescent="0.25">
      <c r="A61" s="17">
        <f t="shared" si="0"/>
        <v>0.60020833333333568</v>
      </c>
      <c r="B61" s="2">
        <v>222.935</v>
      </c>
      <c r="C61" s="2">
        <v>-94</v>
      </c>
      <c r="D61" s="2">
        <v>196.01136730640124</v>
      </c>
      <c r="E61" s="10">
        <v>13.735750667721353</v>
      </c>
    </row>
    <row r="62" spans="1:5" x14ac:dyDescent="0.25">
      <c r="A62" s="17">
        <f t="shared" si="0"/>
        <v>0.60023148148148386</v>
      </c>
      <c r="B62" s="2">
        <v>0</v>
      </c>
      <c r="C62" s="2">
        <v>-97</v>
      </c>
      <c r="D62" s="2">
        <v>196.01136730640124</v>
      </c>
      <c r="E62" s="10">
        <v>100</v>
      </c>
    </row>
    <row r="63" spans="1:5" x14ac:dyDescent="0.25">
      <c r="A63" s="17">
        <f t="shared" si="0"/>
        <v>0.60025462962963205</v>
      </c>
      <c r="B63" s="11" t="s">
        <v>2</v>
      </c>
      <c r="C63" s="11" t="s">
        <v>2</v>
      </c>
      <c r="D63" s="11">
        <v>195.70022285376075</v>
      </c>
      <c r="E63" s="12" t="e">
        <v>#VALUE!</v>
      </c>
    </row>
    <row r="64" spans="1:5" x14ac:dyDescent="0.25">
      <c r="A64" s="17">
        <f t="shared" si="0"/>
        <v>0.60027777777778024</v>
      </c>
      <c r="B64" s="11" t="s">
        <v>2</v>
      </c>
      <c r="C64" s="11" t="s">
        <v>2</v>
      </c>
      <c r="D64" s="11">
        <v>195.70022285376075</v>
      </c>
      <c r="E64" s="12" t="e">
        <v>#VALUE!</v>
      </c>
    </row>
    <row r="65" spans="1:5" x14ac:dyDescent="0.25">
      <c r="A65" s="17">
        <f t="shared" si="0"/>
        <v>0.60030092592592843</v>
      </c>
      <c r="B65" s="11" t="s">
        <v>2</v>
      </c>
      <c r="C65" s="11" t="s">
        <v>2</v>
      </c>
      <c r="D65" s="11">
        <v>195.70022285376075</v>
      </c>
      <c r="E65" s="12" t="e">
        <v>#VALUE!</v>
      </c>
    </row>
    <row r="66" spans="1:5" x14ac:dyDescent="0.25">
      <c r="A66" s="17">
        <f t="shared" si="0"/>
        <v>0.60032407407407662</v>
      </c>
      <c r="B66" s="11" t="s">
        <v>2</v>
      </c>
      <c r="C66" s="11" t="s">
        <v>2</v>
      </c>
      <c r="D66" s="11">
        <v>195.70022285376075</v>
      </c>
      <c r="E66" s="12" t="e">
        <v>#VALUE!</v>
      </c>
    </row>
    <row r="67" spans="1:5" x14ac:dyDescent="0.25">
      <c r="A67" s="17">
        <f>A66+TIME(0,0,2)</f>
        <v>0.60034722222222481</v>
      </c>
      <c r="B67" s="11" t="s">
        <v>2</v>
      </c>
      <c r="C67" s="11" t="s">
        <v>2</v>
      </c>
      <c r="D67" s="11">
        <v>195.70022285376075</v>
      </c>
      <c r="E67" s="12" t="e">
        <v>#VALUE!</v>
      </c>
    </row>
    <row r="68" spans="1:5" x14ac:dyDescent="0.25">
      <c r="A68" s="17">
        <f t="shared" si="0"/>
        <v>0.600370370370373</v>
      </c>
      <c r="B68" s="11" t="s">
        <v>2</v>
      </c>
      <c r="C68" s="11" t="s">
        <v>2</v>
      </c>
      <c r="D68" s="11">
        <v>195.70022285376075</v>
      </c>
      <c r="E68" s="12" t="e">
        <v>#VALUE!</v>
      </c>
    </row>
    <row r="69" spans="1:5" x14ac:dyDescent="0.25">
      <c r="A69" s="17">
        <f t="shared" si="0"/>
        <v>0.60039351851852119</v>
      </c>
      <c r="B69" s="11" t="s">
        <v>2</v>
      </c>
      <c r="C69" s="11" t="s">
        <v>2</v>
      </c>
      <c r="D69" s="11">
        <v>195.70022285376075</v>
      </c>
      <c r="E69" s="12" t="e">
        <v>#VALUE!</v>
      </c>
    </row>
    <row r="70" spans="1:5" x14ac:dyDescent="0.25">
      <c r="A70" s="17">
        <f t="shared" ref="A70:A82" si="1">A69+TIME(0,0,2)</f>
        <v>0.60041666666666937</v>
      </c>
      <c r="B70" s="2">
        <v>216.5</v>
      </c>
      <c r="C70" s="2">
        <v>-98</v>
      </c>
      <c r="D70" s="2">
        <v>195.70022285376075</v>
      </c>
      <c r="E70" s="10">
        <v>10.628387051854368</v>
      </c>
    </row>
    <row r="71" spans="1:5" x14ac:dyDescent="0.25">
      <c r="A71" s="17">
        <f t="shared" si="1"/>
        <v>0.60043981481481756</v>
      </c>
      <c r="B71" s="11" t="s">
        <v>2</v>
      </c>
      <c r="C71" s="11" t="s">
        <v>2</v>
      </c>
      <c r="D71" s="11">
        <v>195.70022285376075</v>
      </c>
      <c r="E71" s="12" t="e">
        <v>#VALUE!</v>
      </c>
    </row>
    <row r="72" spans="1:5" x14ac:dyDescent="0.25">
      <c r="A72" s="17">
        <f t="shared" si="1"/>
        <v>0.60046296296296575</v>
      </c>
      <c r="B72" s="2">
        <v>216.5</v>
      </c>
      <c r="C72" s="2">
        <v>-88</v>
      </c>
      <c r="D72" s="2">
        <v>195.70022285376075</v>
      </c>
      <c r="E72" s="10">
        <v>10.628387051854368</v>
      </c>
    </row>
    <row r="73" spans="1:5" x14ac:dyDescent="0.25">
      <c r="A73" s="17">
        <f t="shared" si="1"/>
        <v>0.60048611111111394</v>
      </c>
      <c r="B73" s="11" t="s">
        <v>2</v>
      </c>
      <c r="C73" s="11" t="s">
        <v>2</v>
      </c>
      <c r="D73" s="11">
        <v>195.70022285376075</v>
      </c>
      <c r="E73" s="12" t="e">
        <v>#VALUE!</v>
      </c>
    </row>
    <row r="74" spans="1:5" x14ac:dyDescent="0.25">
      <c r="A74" s="17">
        <f t="shared" si="1"/>
        <v>0.60050925925926213</v>
      </c>
      <c r="B74" s="11" t="s">
        <v>2</v>
      </c>
      <c r="C74" s="11" t="s">
        <v>2</v>
      </c>
      <c r="D74" s="11">
        <v>195.70022285376075</v>
      </c>
      <c r="E74" s="12" t="e">
        <v>#VALUE!</v>
      </c>
    </row>
    <row r="75" spans="1:5" x14ac:dyDescent="0.25">
      <c r="A75" s="17">
        <f t="shared" si="1"/>
        <v>0.60053240740741032</v>
      </c>
      <c r="B75" s="11" t="s">
        <v>2</v>
      </c>
      <c r="C75" s="11" t="s">
        <v>2</v>
      </c>
      <c r="D75" s="11">
        <v>195.70022285376075</v>
      </c>
      <c r="E75" s="12" t="e">
        <v>#VALUE!</v>
      </c>
    </row>
    <row r="76" spans="1:5" x14ac:dyDescent="0.25">
      <c r="A76" s="17">
        <f t="shared" si="1"/>
        <v>0.60055555555555851</v>
      </c>
      <c r="B76" s="2">
        <v>217</v>
      </c>
      <c r="C76" s="2">
        <v>-88</v>
      </c>
      <c r="D76" s="2">
        <v>195.70022285376075</v>
      </c>
      <c r="E76" s="10">
        <v>10.883879862597681</v>
      </c>
    </row>
    <row r="77" spans="1:5" x14ac:dyDescent="0.25">
      <c r="A77" s="17">
        <f t="shared" si="1"/>
        <v>0.6005787037037067</v>
      </c>
      <c r="B77" s="11" t="s">
        <v>2</v>
      </c>
      <c r="C77" s="11" t="s">
        <v>2</v>
      </c>
      <c r="D77" s="11">
        <v>196.03757446856272</v>
      </c>
      <c r="E77" s="12" t="e">
        <v>#VALUE!</v>
      </c>
    </row>
    <row r="78" spans="1:5" x14ac:dyDescent="0.25">
      <c r="A78" s="17">
        <f t="shared" si="1"/>
        <v>0.60060185185185488</v>
      </c>
      <c r="B78" s="11" t="s">
        <v>2</v>
      </c>
      <c r="C78" s="11" t="s">
        <v>2</v>
      </c>
      <c r="D78" s="11">
        <v>196.03757446856272</v>
      </c>
      <c r="E78" s="12" t="e">
        <v>#VALUE!</v>
      </c>
    </row>
    <row r="79" spans="1:5" x14ac:dyDescent="0.25">
      <c r="A79" s="17">
        <f t="shared" si="1"/>
        <v>0.60062500000000307</v>
      </c>
      <c r="B79" s="11" t="s">
        <v>2</v>
      </c>
      <c r="C79" s="11" t="s">
        <v>2</v>
      </c>
      <c r="D79" s="11">
        <v>196.03757446856272</v>
      </c>
      <c r="E79" s="12" t="e">
        <v>#VALUE!</v>
      </c>
    </row>
    <row r="80" spans="1:5" x14ac:dyDescent="0.25">
      <c r="A80" s="17">
        <f t="shared" si="1"/>
        <v>0.60064814814815126</v>
      </c>
      <c r="B80" s="2">
        <v>210</v>
      </c>
      <c r="C80" s="2">
        <v>-99</v>
      </c>
      <c r="D80" s="2">
        <v>196.03757446856272</v>
      </c>
      <c r="E80" s="10">
        <v>7.1223211005787768</v>
      </c>
    </row>
    <row r="81" spans="1:7" x14ac:dyDescent="0.25">
      <c r="A81" s="17">
        <f t="shared" si="1"/>
        <v>0.60067129629629945</v>
      </c>
      <c r="B81" s="2">
        <v>203</v>
      </c>
      <c r="C81" s="2">
        <v>-1</v>
      </c>
      <c r="D81" s="2">
        <v>196.03757446856272</v>
      </c>
      <c r="E81" s="10">
        <v>3.5515770638928177</v>
      </c>
    </row>
    <row r="82" spans="1:7" x14ac:dyDescent="0.25">
      <c r="A82" s="22">
        <f t="shared" si="1"/>
        <v>0.60069444444444764</v>
      </c>
      <c r="B82" s="23">
        <v>203</v>
      </c>
      <c r="C82" s="23">
        <v>-97</v>
      </c>
      <c r="D82" s="23">
        <v>200.13157928422797</v>
      </c>
      <c r="E82" s="24">
        <v>1.4332674163822419</v>
      </c>
    </row>
    <row r="83" spans="1:7" x14ac:dyDescent="0.25">
      <c r="A83" s="1"/>
    </row>
    <row r="85" spans="1:7" x14ac:dyDescent="0.25">
      <c r="F85" s="3" t="s">
        <v>11</v>
      </c>
      <c r="G85" s="3" cm="1">
        <f t="array" ref="G85">AVERAGE(IF(ISNUMBER(E3:E82), IF(E3:E82&lt;100, E3:E82, ""), ""))</f>
        <v>25.760521039844424</v>
      </c>
    </row>
    <row r="92" spans="1:7" ht="20.399999999999999" x14ac:dyDescent="0.35">
      <c r="A92" s="54" t="s">
        <v>20</v>
      </c>
      <c r="B92" s="54"/>
      <c r="C92" s="54"/>
      <c r="D92" s="54"/>
      <c r="E92" s="54"/>
    </row>
    <row r="93" spans="1:7" ht="61.2" x14ac:dyDescent="0.35">
      <c r="A93" s="33" t="s">
        <v>13</v>
      </c>
      <c r="B93" s="34">
        <v>1</v>
      </c>
      <c r="C93" s="34">
        <v>5</v>
      </c>
      <c r="D93" s="34">
        <v>10</v>
      </c>
      <c r="E93" s="35">
        <v>50</v>
      </c>
    </row>
    <row r="94" spans="1:7" ht="20.399999999999999" x14ac:dyDescent="0.35">
      <c r="A94" s="36" t="s">
        <v>14</v>
      </c>
      <c r="B94" s="37">
        <f>AVERAGE(0.6,1,0.6,1.8,1,1,1,1)</f>
        <v>1</v>
      </c>
      <c r="C94" s="38">
        <v>4</v>
      </c>
      <c r="D94" s="38">
        <v>9.5</v>
      </c>
      <c r="E94" s="39">
        <v>40</v>
      </c>
    </row>
    <row r="95" spans="1:7" ht="20.399999999999999" x14ac:dyDescent="0.35">
      <c r="A95" s="36" t="s">
        <v>15</v>
      </c>
      <c r="B95" s="40">
        <f>AVERAGE(3.5,4.4,2.8,2.8,2.8)</f>
        <v>3.2600000000000002</v>
      </c>
      <c r="C95" s="41">
        <v>9</v>
      </c>
      <c r="D95" s="41">
        <v>16</v>
      </c>
      <c r="E95" s="42">
        <v>45</v>
      </c>
    </row>
    <row r="96" spans="1:7" ht="20.399999999999999" x14ac:dyDescent="0.35">
      <c r="A96" s="36" t="s">
        <v>16</v>
      </c>
      <c r="B96" s="43">
        <f>AVERAGE(1,1,1,1,1)</f>
        <v>1</v>
      </c>
      <c r="C96" s="41">
        <v>7</v>
      </c>
      <c r="D96" s="41">
        <v>12</v>
      </c>
      <c r="E96" s="42">
        <v>45</v>
      </c>
    </row>
    <row r="97" spans="1:5" ht="17.399999999999999" x14ac:dyDescent="0.3">
      <c r="A97" s="44" t="s">
        <v>17</v>
      </c>
      <c r="B97" s="45">
        <f>(B96-B93)/B93*100</f>
        <v>0</v>
      </c>
      <c r="C97" s="46">
        <f t="shared" ref="C97:E97" si="2">(C96-C93)/C93*100</f>
        <v>40</v>
      </c>
      <c r="D97" s="46">
        <f t="shared" si="2"/>
        <v>20</v>
      </c>
      <c r="E97" s="47">
        <f t="shared" si="2"/>
        <v>-10</v>
      </c>
    </row>
    <row r="98" spans="1:5" ht="20.399999999999999" x14ac:dyDescent="0.35">
      <c r="A98" s="36" t="s">
        <v>18</v>
      </c>
      <c r="B98" s="43">
        <v>1</v>
      </c>
      <c r="C98" s="41">
        <v>9</v>
      </c>
      <c r="D98" s="41">
        <v>13</v>
      </c>
      <c r="E98" s="42">
        <v>44</v>
      </c>
    </row>
    <row r="99" spans="1:5" ht="20.399999999999999" x14ac:dyDescent="0.35">
      <c r="A99" s="48" t="s">
        <v>19</v>
      </c>
      <c r="B99" s="49">
        <v>1.4</v>
      </c>
      <c r="C99" s="50">
        <v>7.5</v>
      </c>
      <c r="D99" s="50">
        <v>12</v>
      </c>
      <c r="E99" s="51">
        <v>44</v>
      </c>
    </row>
  </sheetData>
  <mergeCells count="2">
    <mergeCell ref="A92:E92"/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SF=6</vt:lpstr>
      <vt:lpstr>SF=8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Zhou</dc:creator>
  <cp:lastModifiedBy>Yu Zhou</cp:lastModifiedBy>
  <dcterms:created xsi:type="dcterms:W3CDTF">2024-04-18T07:03:42Z</dcterms:created>
  <dcterms:modified xsi:type="dcterms:W3CDTF">2024-04-18T12:28:00Z</dcterms:modified>
</cp:coreProperties>
</file>