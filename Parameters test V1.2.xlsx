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8&amp;^$%\研究生\论文\组会\"/>
    </mc:Choice>
  </mc:AlternateContent>
  <xr:revisionPtr revIDLastSave="0" documentId="13_ncr:1_{0D796EE7-497A-41C2-8C17-961036773268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方案对比" sheetId="2" r:id="rId1"/>
    <sheet name="物理层参数" sheetId="1" r:id="rId2"/>
    <sheet name="功耗测试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F13" i="2"/>
  <c r="F16" i="2"/>
  <c r="H4" i="1"/>
  <c r="H5" i="1"/>
  <c r="H6" i="1"/>
  <c r="H7" i="1"/>
  <c r="H8" i="1"/>
  <c r="H9" i="1"/>
  <c r="H10" i="1"/>
  <c r="H11" i="1"/>
  <c r="H3" i="1"/>
  <c r="E4" i="1"/>
  <c r="E5" i="1"/>
  <c r="E6" i="1"/>
  <c r="E7" i="1"/>
  <c r="E8" i="1"/>
  <c r="E9" i="1"/>
  <c r="E10" i="1"/>
  <c r="E11" i="1"/>
  <c r="E3" i="1"/>
</calcChain>
</file>

<file path=xl/sharedStrings.xml><?xml version="1.0" encoding="utf-8"?>
<sst xmlns="http://schemas.openxmlformats.org/spreadsheetml/2006/main" count="153" uniqueCount="135">
  <si>
    <t>SF</t>
    <phoneticPr fontId="2" type="noConversion"/>
  </si>
  <si>
    <t>BW</t>
    <phoneticPr fontId="2" type="noConversion"/>
  </si>
  <si>
    <t>400kHz</t>
    <phoneticPr fontId="2" type="noConversion"/>
  </si>
  <si>
    <t>800kHz</t>
    <phoneticPr fontId="2" type="noConversion"/>
  </si>
  <si>
    <t>1.6MHz</t>
    <phoneticPr fontId="2" type="noConversion"/>
  </si>
  <si>
    <t>MAC层</t>
    <phoneticPr fontId="2" type="noConversion"/>
  </si>
  <si>
    <t>交换次数</t>
    <phoneticPr fontId="2" type="noConversion"/>
  </si>
  <si>
    <t>负载量</t>
    <phoneticPr fontId="2" type="noConversion"/>
  </si>
  <si>
    <t>方案一</t>
    <phoneticPr fontId="2" type="noConversion"/>
  </si>
  <si>
    <t>方案二</t>
    <phoneticPr fontId="2" type="noConversion"/>
  </si>
  <si>
    <t>ALOHA</t>
    <phoneticPr fontId="2" type="noConversion"/>
  </si>
  <si>
    <t>终端发起</t>
    <phoneticPr fontId="2" type="noConversion"/>
  </si>
  <si>
    <t>优点</t>
    <phoneticPr fontId="2" type="noConversion"/>
  </si>
  <si>
    <t>缺点</t>
    <phoneticPr fontId="2" type="noConversion"/>
  </si>
  <si>
    <t xml:space="preserve">发起方式 </t>
    <phoneticPr fontId="2" type="noConversion"/>
  </si>
  <si>
    <t>方案</t>
    <phoneticPr fontId="2" type="noConversion"/>
  </si>
  <si>
    <t>MAC协议</t>
    <phoneticPr fontId="2" type="noConversion"/>
  </si>
  <si>
    <t xml:space="preserve">CSMA </t>
    <phoneticPr fontId="2" type="noConversion"/>
  </si>
  <si>
    <t>方案三</t>
    <phoneticPr fontId="2" type="noConversion"/>
  </si>
  <si>
    <t>实时性</t>
    <phoneticPr fontId="2" type="noConversion"/>
  </si>
  <si>
    <t>物理层参数</t>
    <phoneticPr fontId="2" type="noConversion"/>
  </si>
  <si>
    <t>最大上限待实测
＞200m通信要求</t>
    <phoneticPr fontId="2" type="noConversion"/>
  </si>
  <si>
    <t>1.集中控制
2.减少冲突</t>
    <phoneticPr fontId="2" type="noConversion"/>
  </si>
  <si>
    <t>1.终端功耗增加
2.中等冲突概率</t>
    <phoneticPr fontId="2" type="noConversion"/>
  </si>
  <si>
    <t xml:space="preserve"> 1.简单
2.自主性强</t>
    <phoneticPr fontId="2" type="noConversion"/>
  </si>
  <si>
    <t>1.负载分散
2.减少冲突
3.自主性强</t>
    <phoneticPr fontId="2" type="noConversion"/>
  </si>
  <si>
    <t>较低，因冲突和重传导致延时增加。</t>
    <phoneticPr fontId="2" type="noConversion"/>
  </si>
  <si>
    <t>通信距离</t>
    <phoneticPr fontId="2" type="noConversion"/>
  </si>
  <si>
    <t>单次测距耗时(ms)</t>
    <phoneticPr fontId="2" type="noConversion"/>
  </si>
  <si>
    <t>方案四</t>
    <phoneticPr fontId="2" type="noConversion"/>
  </si>
  <si>
    <t>TDMA</t>
    <phoneticPr fontId="2" type="noConversion"/>
  </si>
  <si>
    <t>交互次数</t>
    <phoneticPr fontId="2" type="noConversion"/>
  </si>
  <si>
    <t>Set Cont. Modulation</t>
  </si>
  <si>
    <r>
      <rPr>
        <b/>
        <sz val="11"/>
        <color theme="1"/>
        <rFont val="等线"/>
        <family val="3"/>
        <charset val="134"/>
        <scheme val="minor"/>
      </rPr>
      <t>主设备</t>
    </r>
    <r>
      <rPr>
        <sz val="11"/>
        <color theme="1"/>
        <rFont val="等线"/>
        <family val="2"/>
        <scheme val="minor"/>
      </rPr>
      <t>测距模式功耗测试</t>
    </r>
    <phoneticPr fontId="2" type="noConversion"/>
  </si>
  <si>
    <r>
      <rPr>
        <b/>
        <sz val="11"/>
        <color theme="1"/>
        <rFont val="等线"/>
        <family val="3"/>
        <charset val="134"/>
        <scheme val="minor"/>
      </rPr>
      <t>从设备</t>
    </r>
    <r>
      <rPr>
        <sz val="11"/>
        <color theme="1"/>
        <rFont val="等线"/>
        <family val="2"/>
        <scheme val="minor"/>
      </rPr>
      <t>测距模式功耗测试</t>
    </r>
    <phoneticPr fontId="2" type="noConversion"/>
  </si>
  <si>
    <t>测距前提：</t>
    <phoneticPr fontId="2" type="noConversion"/>
  </si>
  <si>
    <t>理想情况，10s内可完成测距设备数</t>
    <phoneticPr fontId="2" type="noConversion"/>
  </si>
  <si>
    <t>备注：</t>
    <phoneticPr fontId="2" type="noConversion"/>
  </si>
  <si>
    <t>5个，分配时隙后基本不会发生冲突</t>
    <phoneticPr fontId="2" type="noConversion"/>
  </si>
  <si>
    <t xml:space="preserve"> </t>
    <phoneticPr fontId="2" type="noConversion"/>
  </si>
  <si>
    <t>测距阶段理论耗时（ms）</t>
    <phoneticPr fontId="2" type="noConversion"/>
  </si>
  <si>
    <t>通信+测距+处理实际耗时（us）</t>
    <phoneticPr fontId="2" type="noConversion"/>
  </si>
  <si>
    <t>拟定测距周期（ms）</t>
    <phoneticPr fontId="2" type="noConversion"/>
  </si>
  <si>
    <t>主设备功耗（mA）</t>
    <phoneticPr fontId="2" type="noConversion"/>
  </si>
  <si>
    <t>从设备功耗（mA）</t>
    <phoneticPr fontId="2" type="noConversion"/>
  </si>
  <si>
    <t>备注：</t>
    <phoneticPr fontId="2" type="noConversion"/>
  </si>
  <si>
    <t>1.上图绿色部分表示方案中选择的参数</t>
    <phoneticPr fontId="2" type="noConversion"/>
  </si>
  <si>
    <r>
      <t>2.</t>
    </r>
    <r>
      <rPr>
        <b/>
        <sz val="11"/>
        <color theme="1"/>
        <rFont val="等线"/>
        <family val="3"/>
        <charset val="134"/>
        <scheme val="minor"/>
      </rPr>
      <t>交换次数</t>
    </r>
    <r>
      <rPr>
        <sz val="11"/>
        <color theme="1"/>
        <rFont val="等线"/>
        <family val="2"/>
        <scheme val="minor"/>
      </rPr>
      <t>可变，目前官方设定为60次，次数与准确度的关系见下图</t>
    </r>
    <phoneticPr fontId="2" type="noConversion"/>
  </si>
  <si>
    <r>
      <t>2.</t>
    </r>
    <r>
      <rPr>
        <b/>
        <sz val="11"/>
        <color theme="1"/>
        <rFont val="等线"/>
        <family val="3"/>
        <charset val="134"/>
        <scheme val="minor"/>
      </rPr>
      <t>拟定测距周期</t>
    </r>
    <r>
      <rPr>
        <sz val="11"/>
        <color theme="1"/>
        <rFont val="等线"/>
        <family val="2"/>
        <scheme val="minor"/>
      </rPr>
      <t>是假设以主设备发起为基础，包含开始的通信+测距（60次）+处理数据+最后数据上报</t>
    </r>
    <phoneticPr fontId="2" type="noConversion"/>
  </si>
  <si>
    <r>
      <t>4.</t>
    </r>
    <r>
      <rPr>
        <b/>
        <sz val="11"/>
        <color theme="1"/>
        <rFont val="等线"/>
        <family val="3"/>
        <charset val="134"/>
        <scheme val="minor"/>
      </rPr>
      <t>主从设备功耗</t>
    </r>
    <r>
      <rPr>
        <sz val="11"/>
        <color theme="1"/>
        <rFont val="等线"/>
        <family val="2"/>
        <scheme val="minor"/>
      </rPr>
      <t>均已减去LED屏幕消耗</t>
    </r>
    <phoneticPr fontId="2" type="noConversion"/>
  </si>
  <si>
    <t>5.官方文档指出，在测距操作中，空中交换时间只与SF和BW有关，与CR无关（因为与有效负载长度部分无关），其计算的基本公式为</t>
    <phoneticPr fontId="2" type="noConversion"/>
  </si>
  <si>
    <t>冲突率</t>
    <phoneticPr fontId="2" type="noConversion"/>
  </si>
  <si>
    <t>接近0%</t>
    <phoneticPr fontId="2" type="noConversion"/>
  </si>
  <si>
    <t>与负载有关，这里假设取20%</t>
    <phoneticPr fontId="2" type="noConversion"/>
  </si>
  <si>
    <r>
      <t>1.主从双方</t>
    </r>
    <r>
      <rPr>
        <b/>
        <sz val="11"/>
        <color theme="1"/>
        <rFont val="等线"/>
        <family val="3"/>
        <charset val="134"/>
        <scheme val="minor"/>
      </rPr>
      <t>不依赖绝对的时钟</t>
    </r>
    <phoneticPr fontId="2" type="noConversion"/>
  </si>
  <si>
    <r>
      <t>2.主设备在发起之前需要知道</t>
    </r>
    <r>
      <rPr>
        <b/>
        <sz val="11"/>
        <color theme="1"/>
        <rFont val="等线"/>
        <family val="3"/>
        <charset val="134"/>
        <scheme val="minor"/>
      </rPr>
      <t>从设备的地址</t>
    </r>
    <r>
      <rPr>
        <sz val="11"/>
        <color theme="1"/>
        <rFont val="等线"/>
        <family val="3"/>
        <charset val="134"/>
        <scheme val="minor"/>
      </rPr>
      <t>，这样双方才能一起进行跳变，保持相同的通信节奏</t>
    </r>
    <phoneticPr fontId="2" type="noConversion"/>
  </si>
  <si>
    <t>最坏为82%，此时取中等情况50%</t>
    <phoneticPr fontId="2" type="noConversion"/>
  </si>
  <si>
    <t>10个</t>
    <phoneticPr fontId="2" type="noConversion"/>
  </si>
  <si>
    <t>需部署基站个数（1Km内）</t>
    <phoneticPr fontId="2" type="noConversion"/>
  </si>
  <si>
    <t>6个，可根据覆盖需求调整。</t>
    <phoneticPr fontId="2" type="noConversion"/>
  </si>
  <si>
    <t>基站发起
轮询所有频率</t>
    <phoneticPr fontId="2" type="noConversion"/>
  </si>
  <si>
    <t>最高40，受信道数量限制</t>
    <phoneticPr fontId="2" type="noConversion"/>
  </si>
  <si>
    <t>中等，
最短情况下240ms一次，最坏14s一次
取决于基站处理能力和轮询效率</t>
    <phoneticPr fontId="2" type="noConversion"/>
  </si>
  <si>
    <t>6个，需高性能。</t>
    <phoneticPr fontId="2" type="noConversion"/>
  </si>
  <si>
    <t>较高，定时周期30s到即可发送。</t>
    <phoneticPr fontId="2" type="noConversion"/>
  </si>
  <si>
    <t>中等，与存在多少设备有关</t>
    <phoneticPr fontId="2" type="noConversion"/>
  </si>
  <si>
    <r>
      <t xml:space="preserve"> 1.基站负担大
</t>
    </r>
    <r>
      <rPr>
        <sz val="11"/>
        <color rgb="FFFF0000"/>
        <rFont val="等线"/>
        <family val="3"/>
        <charset val="134"/>
        <scheme val="minor"/>
      </rPr>
      <t>2.延时</t>
    </r>
    <phoneticPr fontId="2" type="noConversion"/>
  </si>
  <si>
    <r>
      <rPr>
        <sz val="11"/>
        <color rgb="FFFF0000"/>
        <rFont val="等线"/>
        <family val="3"/>
        <charset val="134"/>
        <scheme val="minor"/>
      </rPr>
      <t>1.高冲突概率</t>
    </r>
    <r>
      <rPr>
        <sz val="11"/>
        <color theme="1"/>
        <rFont val="等线"/>
        <family val="3"/>
        <charset val="134"/>
        <scheme val="minor"/>
      </rPr>
      <t xml:space="preserve">
2.效率低</t>
    </r>
    <phoneticPr fontId="2" type="noConversion"/>
  </si>
  <si>
    <t>1.主从双方需要进行时钟同步
2.灵活性不高，用户数量变化高时会有问题</t>
    <phoneticPr fontId="2" type="noConversion"/>
  </si>
  <si>
    <t>1.基本不会发生冲突
2.易于管理</t>
    <phoneticPr fontId="2" type="noConversion"/>
  </si>
  <si>
    <t>功耗（1h，满负载）</t>
    <phoneticPr fontId="2" type="noConversion"/>
  </si>
  <si>
    <t>基站功耗：76.35
终端功耗：83.0196</t>
    <phoneticPr fontId="2" type="noConversion"/>
  </si>
  <si>
    <t>基站功耗：72.65
终端功耗：83.1808</t>
    <phoneticPr fontId="2" type="noConversion"/>
  </si>
  <si>
    <t>基站功耗：72.65
终端功耗：83.186</t>
    <phoneticPr fontId="2" type="noConversion"/>
  </si>
  <si>
    <t>方案对比</t>
    <phoneticPr fontId="2" type="noConversion"/>
  </si>
  <si>
    <t>基站功耗：72.65
终端功耗：83.177</t>
    <phoneticPr fontId="2" type="noConversion"/>
  </si>
  <si>
    <r>
      <t>1.</t>
    </r>
    <r>
      <rPr>
        <b/>
        <sz val="11"/>
        <color theme="1"/>
        <rFont val="等线"/>
        <family val="3"/>
        <charset val="134"/>
        <scheme val="minor"/>
      </rPr>
      <t>负载量</t>
    </r>
    <r>
      <rPr>
        <sz val="11"/>
        <color theme="1"/>
        <rFont val="等线"/>
        <family val="3"/>
        <charset val="134"/>
        <scheme val="minor"/>
      </rPr>
      <t>的计算基于：单次定位时长为400ms，定位周期为30s，同时考虑到了冲突</t>
    </r>
    <phoneticPr fontId="2" type="noConversion"/>
  </si>
  <si>
    <r>
      <t>2..</t>
    </r>
    <r>
      <rPr>
        <b/>
        <sz val="11"/>
        <color theme="1"/>
        <rFont val="等线"/>
        <family val="3"/>
        <charset val="134"/>
        <scheme val="minor"/>
      </rPr>
      <t>部署基站个数</t>
    </r>
    <r>
      <rPr>
        <sz val="11"/>
        <color theme="1"/>
        <rFont val="等线"/>
        <family val="3"/>
        <charset val="134"/>
        <scheme val="minor"/>
      </rPr>
      <t>的计算是基于在1km的隧道中，通信距离为200m</t>
    </r>
    <phoneticPr fontId="2" type="noConversion"/>
  </si>
  <si>
    <r>
      <t>3.</t>
    </r>
    <r>
      <rPr>
        <b/>
        <sz val="11"/>
        <color theme="1"/>
        <rFont val="等线"/>
        <family val="3"/>
        <charset val="134"/>
        <scheme val="minor"/>
      </rPr>
      <t>功耗</t>
    </r>
    <r>
      <rPr>
        <sz val="11"/>
        <color theme="1"/>
        <rFont val="等线"/>
        <family val="3"/>
        <charset val="134"/>
        <scheme val="minor"/>
      </rPr>
      <t>的计算是在24h中，以定时周期为30s，单次定时需400ms来计算，考虑到了冲突会重发</t>
    </r>
    <phoneticPr fontId="2" type="noConversion"/>
  </si>
  <si>
    <t>普通模式功耗测试</t>
  </si>
  <si>
    <t>模式分类</t>
  </si>
  <si>
    <t>备注</t>
  </si>
  <si>
    <t>Sleep Mode</t>
  </si>
  <si>
    <t>睡眠模式</t>
  </si>
  <si>
    <t>Standby RC Mode</t>
  </si>
  <si>
    <t>待机模式（使用内部时钟源）</t>
  </si>
  <si>
    <t>Standby XOSC Mode</t>
  </si>
  <si>
    <t>待机模式（使用外部时钟源）</t>
  </si>
  <si>
    <t>Set Tx CW</t>
  </si>
  <si>
    <t>连续波发射模式</t>
  </si>
  <si>
    <t>连续调制模式</t>
  </si>
  <si>
    <t>待机模式</t>
    <phoneticPr fontId="2" type="noConversion"/>
  </si>
  <si>
    <t>不带LED屏幕</t>
    <phoneticPr fontId="2" type="noConversion"/>
  </si>
  <si>
    <t>带LED屏幕</t>
    <phoneticPr fontId="2" type="noConversion"/>
  </si>
  <si>
    <t>电流（mA）</t>
    <phoneticPr fontId="2" type="noConversion"/>
  </si>
  <si>
    <t>总结：</t>
    <phoneticPr fontId="2" type="noConversion"/>
  </si>
  <si>
    <t>总结：LED屏幕将会增多大约100mA的耗电</t>
    <phoneticPr fontId="2" type="noConversion"/>
  </si>
  <si>
    <t>1.496.618</t>
  </si>
  <si>
    <t>5.904.000</t>
  </si>
  <si>
    <t>23.626.598</t>
  </si>
  <si>
    <t>0.737.847</t>
  </si>
  <si>
    <t>2.900.000</t>
  </si>
  <si>
    <t>11.863.366</t>
  </si>
  <si>
    <t>0.254.522</t>
  </si>
  <si>
    <t>0.380.000</t>
  </si>
  <si>
    <t>0.487.312</t>
  </si>
  <si>
    <t>0.967.679</t>
  </si>
  <si>
    <t>1.485.339</t>
  </si>
  <si>
    <t>1.949.184</t>
  </si>
  <si>
    <t>03.940.000</t>
  </si>
  <si>
    <t>05.880.000</t>
  </si>
  <si>
    <t>07.846.168</t>
  </si>
  <si>
    <t>功耗（mA）</t>
    <phoneticPr fontId="2" type="noConversion"/>
  </si>
  <si>
    <t>周期（us）</t>
    <phoneticPr fontId="2" type="noConversion"/>
  </si>
  <si>
    <t>备注：待机状态功耗为172.46mA</t>
    <phoneticPr fontId="2" type="noConversion"/>
  </si>
  <si>
    <t>1.469.104</t>
  </si>
  <si>
    <t>5.905.612</t>
  </si>
  <si>
    <t>23.734.989</t>
  </si>
  <si>
    <t>0.744.217</t>
  </si>
  <si>
    <t>02.920.000</t>
  </si>
  <si>
    <t>11.869.286</t>
  </si>
  <si>
    <t>0.252.000</t>
  </si>
  <si>
    <t>0.383.039</t>
  </si>
  <si>
    <t>0.483.839</t>
  </si>
  <si>
    <t>0.967.592</t>
  </si>
  <si>
    <t>01.472.222</t>
  </si>
  <si>
    <t>1.953.371</t>
  </si>
  <si>
    <t>03.942.901</t>
  </si>
  <si>
    <t>05.856.350</t>
  </si>
  <si>
    <t>07.843.184</t>
  </si>
  <si>
    <t>备注：从设备监听模式下功耗为183.16mA</t>
    <phoneticPr fontId="2" type="noConversion"/>
  </si>
  <si>
    <t>1.在进行数据交换时，发送方功率＞接收方；但在待机状态下，发送方待机（监听）功率＞发送发送待机功率</t>
    <phoneticPr fontId="2" type="noConversion"/>
  </si>
  <si>
    <t>2.仪器显示周期与实测周期基本吻合</t>
    <phoneticPr fontId="2" type="noConversion"/>
  </si>
  <si>
    <t>3.以上所有数据，实测电压5.01V</t>
    <phoneticPr fontId="2" type="noConversion"/>
  </si>
  <si>
    <t>总结：基于负载量、冲突率以及灵活性的考虑，倾向于选择终端发起+CSMA的方案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</si>
</sst>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9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85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/>
    <xf numFmtId="0" fontId="0" fillId="0" borderId="5" xfId="0" applyBorder="1"/>
    <xf numFmtId="0" fontId="0" fillId="0" borderId="8" xfId="0" applyBorder="1"/>
    <xf numFmtId="0" fontId="1" fillId="2" borderId="8" xfId="1" applyBorder="1" applyAlignment="1"/>
    <xf numFmtId="0" fontId="1" fillId="2" borderId="0" xfId="1" applyBorder="1" applyAlignment="1"/>
    <xf numFmtId="177" fontId="1" fillId="2" borderId="3" xfId="1" applyNumberFormat="1" applyBorder="1" applyAlignment="1"/>
    <xf numFmtId="177" fontId="1" fillId="2" borderId="9" xfId="1" applyNumberFormat="1" applyBorder="1" applyAlignment="1"/>
    <xf numFmtId="177" fontId="1" fillId="2" borderId="8" xfId="1" applyNumberFormat="1" applyBorder="1" applyAlignment="1"/>
    <xf numFmtId="177" fontId="1" fillId="2" borderId="0" xfId="1" applyNumberFormat="1" applyBorder="1" applyAlignment="1"/>
    <xf numFmtId="0" fontId="3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7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1" fillId="2" borderId="0" xfId="1" applyBorder="1" applyAlignment="1">
      <alignment horizontal="center" vertical="center"/>
    </xf>
    <xf numFmtId="0" fontId="1" fillId="2" borderId="0" xfId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9" fontId="5" fillId="0" borderId="0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" xfId="0" applyBorder="1"/>
    <xf numFmtId="0" fontId="0" fillId="0" borderId="0" xfId="0"/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4" xfId="0" applyBorder="1"/>
    <xf numFmtId="0" fontId="0" fillId="0" borderId="7" xfId="0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Fill="1" applyBorder="1"/>
    <xf numFmtId="0" fontId="5" fillId="0" borderId="2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0" fillId="0" borderId="10" xfId="0" applyBorder="1"/>
    <xf numFmtId="0" fontId="0" fillId="0" borderId="5" xfId="0" applyBorder="1"/>
    <xf numFmtId="0" fontId="0" fillId="0" borderId="8" xfId="0" applyBorder="1"/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10" xfId="0" applyFill="1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176" fontId="0" fillId="0" borderId="7" xfId="0" applyNumberFormat="1" applyBorder="1"/>
    <xf numFmtId="176" fontId="0" fillId="0" borderId="2" xfId="0" applyNumberFormat="1" applyBorder="1"/>
    <xf numFmtId="176" fontId="0" fillId="0" borderId="4" xfId="0" applyNumberFormat="1" applyBorder="1"/>
    <xf numFmtId="176" fontId="1" fillId="2" borderId="7" xfId="1" applyNumberFormat="1" applyBorder="1" applyAlignment="1"/>
    <xf numFmtId="176" fontId="1" fillId="2" borderId="2" xfId="1" applyNumberFormat="1" applyBorder="1" applyAlignment="1"/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955151</xdr:colOff>
      <xdr:row>16</xdr:row>
      <xdr:rowOff>1083</xdr:rowOff>
    </xdr:from>
    <xdr:to>
      <xdr:col>7</xdr:col>
      <xdr:colOff>1078064</xdr:colOff>
      <xdr:row>20</xdr:row>
      <xdr:rowOff>141691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93AFCF9-9C61-61BB-E5E3-A977AF24D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77971" y="2820483"/>
          <a:ext cx="2386053" cy="841648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21</xdr:row>
      <xdr:rowOff>35781</xdr:rowOff>
    </xdr:from>
    <xdr:to>
      <xdr:col>4</xdr:col>
      <xdr:colOff>598999</xdr:colOff>
      <xdr:row>38</xdr:row>
      <xdr:rowOff>44300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7BDCE71-3D93-494E-98C2-6733742A9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" y="3731481"/>
          <a:ext cx="3791779" cy="29879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536A-5903-41A6-8251-45C9AF7318ED}">
  <dimension ref="A1:J26"/>
  <sheetViews>
    <sheetView zoomScaleNormal="100" workbookViewId="0">
      <selection activeCell="J7" sqref="J7:J9"/>
    </sheetView>
  </sheetViews>
  <sheetFormatPr defaultRowHeight="13.8" x14ac:dyDescent="0.25"/>
  <cols>
    <col min="1" max="1" width="8.33203125" style="2" customWidth="1"/>
    <col min="2" max="2" width="14.77734375" style="2" customWidth="1"/>
    <col min="3" max="3" width="10" style="2" bestFit="1" customWidth="1"/>
    <col min="4" max="4" width="37.88671875" style="2" customWidth="1"/>
    <col min="5" max="5" width="38" style="2" bestFit="1" customWidth="1"/>
    <col min="6" max="6" width="33.6640625" style="2" bestFit="1" customWidth="1"/>
    <col min="7" max="7" width="32.33203125" style="2" customWidth="1"/>
    <col min="8" max="8" width="49" style="2" customWidth="1"/>
    <col min="9" max="9" width="21" style="2" customWidth="1"/>
    <col min="10" max="10" width="18.88671875" style="2" customWidth="1"/>
    <col min="11" max="16384" width="8.88671875" style="2"/>
  </cols>
  <sheetData>
    <row r="1" spans="1:10" x14ac:dyDescent="0.25">
      <c r="A1" s="22" t="s">
        <v>35</v>
      </c>
    </row>
    <row r="2" spans="1:10" x14ac:dyDescent="0.25">
      <c r="A2" s="2" t="s">
        <v>54</v>
      </c>
    </row>
    <row r="3" spans="1:10" x14ac:dyDescent="0.25">
      <c r="A3" s="2" t="s">
        <v>55</v>
      </c>
    </row>
    <row r="5" spans="1:10" ht="21.6" customHeight="1" x14ac:dyDescent="0.25">
      <c r="A5" s="38" t="s">
        <v>74</v>
      </c>
      <c r="B5" s="39"/>
      <c r="C5" s="39"/>
      <c r="D5" s="39"/>
      <c r="E5" s="39"/>
      <c r="F5" s="39"/>
      <c r="G5" s="39"/>
      <c r="H5" s="39"/>
      <c r="I5" s="39"/>
      <c r="J5" s="40"/>
    </row>
    <row r="6" spans="1:10" ht="15.6" x14ac:dyDescent="0.25">
      <c r="A6" s="23" t="s">
        <v>15</v>
      </c>
      <c r="B6" s="24" t="s">
        <v>14</v>
      </c>
      <c r="C6" s="24" t="s">
        <v>16</v>
      </c>
      <c r="D6" s="24" t="s">
        <v>51</v>
      </c>
      <c r="E6" s="24" t="s">
        <v>19</v>
      </c>
      <c r="F6" s="24" t="s">
        <v>7</v>
      </c>
      <c r="G6" s="24" t="s">
        <v>58</v>
      </c>
      <c r="H6" s="24" t="s">
        <v>70</v>
      </c>
      <c r="I6" s="24" t="s">
        <v>12</v>
      </c>
      <c r="J6" s="25" t="s">
        <v>13</v>
      </c>
    </row>
    <row r="7" spans="1:10" x14ac:dyDescent="0.25">
      <c r="A7" s="26" t="s">
        <v>8</v>
      </c>
      <c r="B7" s="27" t="s">
        <v>60</v>
      </c>
      <c r="C7" s="28" t="s">
        <v>17</v>
      </c>
      <c r="D7" s="28" t="s">
        <v>53</v>
      </c>
      <c r="E7" s="27" t="s">
        <v>62</v>
      </c>
      <c r="F7" s="28" t="s">
        <v>61</v>
      </c>
      <c r="G7" s="28" t="s">
        <v>63</v>
      </c>
      <c r="H7" s="27" t="s">
        <v>71</v>
      </c>
      <c r="I7" s="27" t="s">
        <v>22</v>
      </c>
      <c r="J7" s="29" t="s">
        <v>66</v>
      </c>
    </row>
    <row r="8" spans="1:10" x14ac:dyDescent="0.25">
      <c r="A8" s="26"/>
      <c r="B8" s="28"/>
      <c r="C8" s="28"/>
      <c r="D8" s="28"/>
      <c r="E8" s="28"/>
      <c r="F8" s="28"/>
      <c r="G8" s="28"/>
      <c r="H8" s="28"/>
      <c r="I8" s="27"/>
      <c r="J8" s="29"/>
    </row>
    <row r="9" spans="1:10" x14ac:dyDescent="0.25">
      <c r="A9" s="26"/>
      <c r="B9" s="28"/>
      <c r="C9" s="28"/>
      <c r="D9" s="28"/>
      <c r="E9" s="28"/>
      <c r="F9" s="28"/>
      <c r="G9" s="28"/>
      <c r="H9" s="28"/>
      <c r="I9" s="27"/>
      <c r="J9" s="29"/>
    </row>
    <row r="10" spans="1:10" ht="13.8" customHeight="1" x14ac:dyDescent="0.25">
      <c r="A10" s="16" t="s">
        <v>9</v>
      </c>
      <c r="B10" s="30" t="s">
        <v>11</v>
      </c>
      <c r="C10" s="30" t="s">
        <v>17</v>
      </c>
      <c r="D10" s="30" t="s">
        <v>53</v>
      </c>
      <c r="E10" s="30" t="s">
        <v>64</v>
      </c>
      <c r="F10" s="30">
        <f>30*1000/400*0.8</f>
        <v>60</v>
      </c>
      <c r="G10" s="30" t="s">
        <v>59</v>
      </c>
      <c r="H10" s="31" t="s">
        <v>72</v>
      </c>
      <c r="I10" s="31" t="s">
        <v>25</v>
      </c>
      <c r="J10" s="32" t="s">
        <v>23</v>
      </c>
    </row>
    <row r="11" spans="1:10" x14ac:dyDescent="0.25">
      <c r="A11" s="16"/>
      <c r="B11" s="30"/>
      <c r="C11" s="30"/>
      <c r="D11" s="30"/>
      <c r="E11" s="30"/>
      <c r="F11" s="30"/>
      <c r="G11" s="30"/>
      <c r="H11" s="30"/>
      <c r="I11" s="31"/>
      <c r="J11" s="32"/>
    </row>
    <row r="12" spans="1:10" x14ac:dyDescent="0.25">
      <c r="A12" s="16"/>
      <c r="B12" s="30"/>
      <c r="C12" s="30"/>
      <c r="D12" s="30"/>
      <c r="E12" s="30"/>
      <c r="F12" s="30"/>
      <c r="G12" s="30"/>
      <c r="H12" s="30"/>
      <c r="I12" s="31"/>
      <c r="J12" s="32"/>
    </row>
    <row r="13" spans="1:10" ht="13.8" customHeight="1" x14ac:dyDescent="0.25">
      <c r="A13" s="26" t="s">
        <v>18</v>
      </c>
      <c r="B13" s="28" t="s">
        <v>11</v>
      </c>
      <c r="C13" s="28" t="s">
        <v>10</v>
      </c>
      <c r="D13" s="33" t="s">
        <v>56</v>
      </c>
      <c r="E13" s="28" t="s">
        <v>26</v>
      </c>
      <c r="F13" s="28">
        <f>30*1000/400/2</f>
        <v>37.5</v>
      </c>
      <c r="G13" s="27" t="s">
        <v>57</v>
      </c>
      <c r="H13" s="27" t="s">
        <v>73</v>
      </c>
      <c r="I13" s="27" t="s">
        <v>24</v>
      </c>
      <c r="J13" s="29" t="s">
        <v>67</v>
      </c>
    </row>
    <row r="14" spans="1:10" x14ac:dyDescent="0.25">
      <c r="A14" s="26"/>
      <c r="B14" s="28"/>
      <c r="C14" s="28"/>
      <c r="D14" s="33"/>
      <c r="E14" s="28"/>
      <c r="F14" s="28"/>
      <c r="G14" s="28"/>
      <c r="H14" s="28"/>
      <c r="I14" s="27"/>
      <c r="J14" s="29"/>
    </row>
    <row r="15" spans="1:10" x14ac:dyDescent="0.25">
      <c r="A15" s="26"/>
      <c r="B15" s="28"/>
      <c r="C15" s="28"/>
      <c r="D15" s="33"/>
      <c r="E15" s="28"/>
      <c r="F15" s="28"/>
      <c r="G15" s="28"/>
      <c r="H15" s="28"/>
      <c r="I15" s="27"/>
      <c r="J15" s="29"/>
    </row>
    <row r="16" spans="1:10" ht="69" x14ac:dyDescent="0.25">
      <c r="A16" s="34" t="s">
        <v>29</v>
      </c>
      <c r="B16" s="35" t="s">
        <v>11</v>
      </c>
      <c r="C16" s="35" t="s">
        <v>30</v>
      </c>
      <c r="D16" s="35" t="s">
        <v>52</v>
      </c>
      <c r="E16" s="35" t="s">
        <v>65</v>
      </c>
      <c r="F16" s="35">
        <f>30*1000/400</f>
        <v>75</v>
      </c>
      <c r="G16" s="35" t="s">
        <v>38</v>
      </c>
      <c r="H16" s="36" t="s">
        <v>75</v>
      </c>
      <c r="I16" s="36" t="s">
        <v>69</v>
      </c>
      <c r="J16" s="37" t="s">
        <v>68</v>
      </c>
    </row>
    <row r="21" spans="1:7" x14ac:dyDescent="0.25">
      <c r="A21" s="2" t="s">
        <v>37</v>
      </c>
    </row>
    <row r="22" spans="1:7" x14ac:dyDescent="0.25">
      <c r="A22" s="2" t="s">
        <v>76</v>
      </c>
      <c r="G22" s="2" t="s">
        <v>39</v>
      </c>
    </row>
    <row r="23" spans="1:7" x14ac:dyDescent="0.25">
      <c r="A23" s="2" t="s">
        <v>77</v>
      </c>
    </row>
    <row r="24" spans="1:7" x14ac:dyDescent="0.25">
      <c r="A24" s="2" t="s">
        <v>78</v>
      </c>
    </row>
    <row r="26" spans="1:7" x14ac:dyDescent="0.25">
      <c r="A26" s="21" t="s">
        <v>134</v>
      </c>
    </row>
  </sheetData>
  <mergeCells count="31">
    <mergeCell ref="I13:I15"/>
    <mergeCell ref="J13:J15"/>
    <mergeCell ref="A13:A15"/>
    <mergeCell ref="B13:B15"/>
    <mergeCell ref="C13:C15"/>
    <mergeCell ref="E13:E15"/>
    <mergeCell ref="F13:F15"/>
    <mergeCell ref="I7:I9"/>
    <mergeCell ref="J7:J9"/>
    <mergeCell ref="A10:A12"/>
    <mergeCell ref="B10:B12"/>
    <mergeCell ref="C10:C12"/>
    <mergeCell ref="E10:E12"/>
    <mergeCell ref="F10:F12"/>
    <mergeCell ref="G10:G12"/>
    <mergeCell ref="H10:H12"/>
    <mergeCell ref="I10:I12"/>
    <mergeCell ref="J10:J12"/>
    <mergeCell ref="A7:A9"/>
    <mergeCell ref="B7:B9"/>
    <mergeCell ref="C7:C9"/>
    <mergeCell ref="D7:D9"/>
    <mergeCell ref="G7:G9"/>
    <mergeCell ref="A5:J5"/>
    <mergeCell ref="D10:D12"/>
    <mergeCell ref="D13:D15"/>
    <mergeCell ref="E7:E9"/>
    <mergeCell ref="F7:F9"/>
    <mergeCell ref="H7:H9"/>
    <mergeCell ref="G13:G15"/>
    <mergeCell ref="H13:H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tabSelected="1" zoomScaleNormal="100" workbookViewId="0">
      <selection activeCell="J24" sqref="J24"/>
    </sheetView>
  </sheetViews>
  <sheetFormatPr defaultRowHeight="13.8" x14ac:dyDescent="0.25"/>
  <cols>
    <col min="2" max="2" width="8.88671875" customWidth="1"/>
    <col min="3" max="3" width="17.109375" customWidth="1"/>
    <col min="4" max="4" width="13.109375" customWidth="1"/>
    <col min="5" max="5" width="25.77734375" customWidth="1"/>
    <col min="6" max="7" width="33" customWidth="1"/>
    <col min="8" max="8" width="34.88671875" customWidth="1"/>
    <col min="9" max="9" width="20.77734375" customWidth="1"/>
    <col min="10" max="10" width="20.33203125" customWidth="1"/>
    <col min="11" max="11" width="26.33203125" customWidth="1"/>
    <col min="12" max="12" width="12.77734375" customWidth="1"/>
    <col min="13" max="13" width="12.6640625" customWidth="1"/>
    <col min="14" max="14" width="8.88671875" customWidth="1"/>
    <col min="15" max="15" width="10" customWidth="1"/>
    <col min="16" max="16" width="27.6640625" hidden="1" customWidth="1"/>
    <col min="17" max="18" width="27.6640625" customWidth="1"/>
    <col min="19" max="20" width="20.88671875" customWidth="1"/>
    <col min="21" max="21" width="14" customWidth="1"/>
  </cols>
  <sheetData>
    <row r="1" spans="1:16" x14ac:dyDescent="0.25">
      <c r="A1" s="11" t="s">
        <v>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P1" t="s">
        <v>5</v>
      </c>
    </row>
    <row r="2" spans="1:16" ht="15" customHeight="1" x14ac:dyDescent="0.25">
      <c r="A2" s="1" t="s">
        <v>1</v>
      </c>
      <c r="B2" s="1" t="s">
        <v>0</v>
      </c>
      <c r="C2" s="1" t="s">
        <v>28</v>
      </c>
      <c r="D2" s="1" t="s">
        <v>6</v>
      </c>
      <c r="E2" s="1" t="s">
        <v>40</v>
      </c>
      <c r="F2" s="1" t="s">
        <v>41</v>
      </c>
      <c r="G2" s="1" t="s">
        <v>42</v>
      </c>
      <c r="H2" s="1" t="s">
        <v>36</v>
      </c>
      <c r="I2" s="1" t="s">
        <v>43</v>
      </c>
      <c r="J2" s="1" t="s">
        <v>44</v>
      </c>
      <c r="K2" s="1" t="s">
        <v>27</v>
      </c>
    </row>
    <row r="3" spans="1:16" x14ac:dyDescent="0.25">
      <c r="A3" s="12" t="s">
        <v>2</v>
      </c>
      <c r="B3" s="4">
        <v>6</v>
      </c>
      <c r="C3" s="4">
        <v>24</v>
      </c>
      <c r="D3" s="4">
        <v>60</v>
      </c>
      <c r="E3" s="4">
        <f>C3*D3</f>
        <v>1440</v>
      </c>
      <c r="F3" s="4">
        <v>1489180</v>
      </c>
      <c r="G3" s="4">
        <v>1500</v>
      </c>
      <c r="H3" s="80">
        <f>10*1000/G3</f>
        <v>6.666666666666667</v>
      </c>
      <c r="I3" s="76">
        <v>83.65</v>
      </c>
      <c r="J3" s="77">
        <v>79.290000000000006</v>
      </c>
      <c r="K3" s="18" t="s">
        <v>21</v>
      </c>
    </row>
    <row r="4" spans="1:16" x14ac:dyDescent="0.25">
      <c r="A4" s="13"/>
      <c r="B4">
        <v>8</v>
      </c>
      <c r="C4">
        <v>96</v>
      </c>
      <c r="D4">
        <v>60</v>
      </c>
      <c r="E4">
        <f t="shared" ref="E4:E11" si="0">C4*D4</f>
        <v>5760</v>
      </c>
      <c r="F4">
        <v>5917654</v>
      </c>
      <c r="G4">
        <v>6000</v>
      </c>
      <c r="H4" s="81">
        <f t="shared" ref="H4:H11" si="1">10*1000/G4</f>
        <v>1.6666666666666667</v>
      </c>
      <c r="I4" s="50">
        <v>82.68</v>
      </c>
      <c r="J4" s="73">
        <v>77.13</v>
      </c>
      <c r="K4" s="19"/>
    </row>
    <row r="5" spans="1:16" x14ac:dyDescent="0.25">
      <c r="A5" s="14"/>
      <c r="B5" s="3">
        <v>10</v>
      </c>
      <c r="C5" s="3">
        <v>384</v>
      </c>
      <c r="D5" s="3">
        <v>60</v>
      </c>
      <c r="E5" s="3">
        <f t="shared" si="0"/>
        <v>23040</v>
      </c>
      <c r="F5" s="3">
        <v>23612230</v>
      </c>
      <c r="G5" s="3">
        <v>24000</v>
      </c>
      <c r="H5" s="82">
        <f t="shared" si="1"/>
        <v>0.41666666666666669</v>
      </c>
      <c r="I5" s="74">
        <v>82.72</v>
      </c>
      <c r="J5" s="75">
        <v>77.180000000000007</v>
      </c>
      <c r="K5" s="19"/>
    </row>
    <row r="6" spans="1:16" x14ac:dyDescent="0.25">
      <c r="A6" s="12" t="s">
        <v>3</v>
      </c>
      <c r="B6" s="4">
        <v>6</v>
      </c>
      <c r="C6" s="4">
        <v>12</v>
      </c>
      <c r="D6" s="4">
        <v>60</v>
      </c>
      <c r="E6" s="4">
        <f t="shared" si="0"/>
        <v>720</v>
      </c>
      <c r="F6" s="4">
        <v>750447</v>
      </c>
      <c r="G6" s="4">
        <v>800</v>
      </c>
      <c r="H6" s="80">
        <f t="shared" si="1"/>
        <v>12.5</v>
      </c>
      <c r="I6" s="76">
        <v>83.27</v>
      </c>
      <c r="J6" s="77">
        <v>72.63</v>
      </c>
      <c r="K6" s="19"/>
    </row>
    <row r="7" spans="1:16" x14ac:dyDescent="0.25">
      <c r="A7" s="13"/>
      <c r="B7">
        <v>8</v>
      </c>
      <c r="C7">
        <v>48</v>
      </c>
      <c r="D7">
        <v>60</v>
      </c>
      <c r="E7">
        <f t="shared" si="0"/>
        <v>2880</v>
      </c>
      <c r="F7">
        <v>2964610</v>
      </c>
      <c r="G7">
        <v>3000</v>
      </c>
      <c r="H7" s="81">
        <f t="shared" si="1"/>
        <v>3.3333333333333335</v>
      </c>
      <c r="I7" s="50">
        <v>84.68</v>
      </c>
      <c r="J7" s="73">
        <v>77.64</v>
      </c>
      <c r="K7" s="19"/>
    </row>
    <row r="8" spans="1:16" x14ac:dyDescent="0.25">
      <c r="A8" s="14"/>
      <c r="B8" s="3">
        <v>10</v>
      </c>
      <c r="C8" s="3">
        <v>192</v>
      </c>
      <c r="D8" s="3">
        <v>60</v>
      </c>
      <c r="E8" s="3">
        <f t="shared" si="0"/>
        <v>11520</v>
      </c>
      <c r="F8" s="3">
        <v>11812197</v>
      </c>
      <c r="G8" s="3">
        <v>12000</v>
      </c>
      <c r="H8" s="82">
        <f t="shared" si="1"/>
        <v>0.83333333333333337</v>
      </c>
      <c r="I8" s="74">
        <v>83.87</v>
      </c>
      <c r="J8" s="75">
        <v>77.599999999999994</v>
      </c>
      <c r="K8" s="19"/>
    </row>
    <row r="9" spans="1:16" x14ac:dyDescent="0.25">
      <c r="A9" s="15" t="s">
        <v>4</v>
      </c>
      <c r="B9" s="5">
        <v>6</v>
      </c>
      <c r="C9" s="5">
        <v>6</v>
      </c>
      <c r="D9" s="5">
        <v>60</v>
      </c>
      <c r="E9" s="5">
        <f t="shared" si="0"/>
        <v>360</v>
      </c>
      <c r="F9" s="5">
        <v>380759</v>
      </c>
      <c r="G9" s="5">
        <v>400</v>
      </c>
      <c r="H9" s="83">
        <f t="shared" si="1"/>
        <v>25</v>
      </c>
      <c r="I9" s="9">
        <v>80.34</v>
      </c>
      <c r="J9" s="8">
        <v>72.650000000000006</v>
      </c>
      <c r="K9" s="19"/>
    </row>
    <row r="10" spans="1:16" x14ac:dyDescent="0.25">
      <c r="A10" s="16"/>
      <c r="B10" s="6">
        <v>8</v>
      </c>
      <c r="C10" s="6">
        <v>24</v>
      </c>
      <c r="D10" s="6">
        <v>60</v>
      </c>
      <c r="E10" s="6">
        <f t="shared" si="0"/>
        <v>1440</v>
      </c>
      <c r="F10" s="6">
        <v>1488420</v>
      </c>
      <c r="G10" s="6">
        <v>1500</v>
      </c>
      <c r="H10" s="84">
        <f t="shared" si="1"/>
        <v>6.666666666666667</v>
      </c>
      <c r="I10" s="10">
        <v>86.46</v>
      </c>
      <c r="J10" s="7">
        <v>75.849999999999994</v>
      </c>
      <c r="K10" s="19"/>
    </row>
    <row r="11" spans="1:16" x14ac:dyDescent="0.25">
      <c r="A11" s="17"/>
      <c r="B11" s="3">
        <v>10</v>
      </c>
      <c r="C11" s="3">
        <v>96</v>
      </c>
      <c r="D11" s="3">
        <v>60</v>
      </c>
      <c r="E11" s="3">
        <f t="shared" si="0"/>
        <v>5760</v>
      </c>
      <c r="F11" s="3">
        <v>5912125</v>
      </c>
      <c r="G11" s="3">
        <v>6000</v>
      </c>
      <c r="H11" s="82">
        <f t="shared" si="1"/>
        <v>1.6666666666666667</v>
      </c>
      <c r="I11" s="74">
        <v>84.14</v>
      </c>
      <c r="J11" s="75">
        <v>77.430000000000007</v>
      </c>
      <c r="K11" s="20"/>
    </row>
    <row r="15" spans="1:16" x14ac:dyDescent="0.25">
      <c r="A15" t="s">
        <v>45</v>
      </c>
    </row>
    <row r="16" spans="1:16" x14ac:dyDescent="0.25">
      <c r="A16" t="s">
        <v>46</v>
      </c>
    </row>
    <row r="17" spans="1:1" x14ac:dyDescent="0.25">
      <c r="A17" t="s">
        <v>47</v>
      </c>
    </row>
    <row r="18" spans="1:1" x14ac:dyDescent="0.25">
      <c r="A18" t="s">
        <v>48</v>
      </c>
    </row>
    <row r="19" spans="1:1" x14ac:dyDescent="0.25">
      <c r="A19" t="s">
        <v>49</v>
      </c>
    </row>
    <row r="20" spans="1:1" x14ac:dyDescent="0.25">
      <c r="A20" t="s">
        <v>50</v>
      </c>
    </row>
  </sheetData>
  <mergeCells count="5">
    <mergeCell ref="A1:K1"/>
    <mergeCell ref="A3:A5"/>
    <mergeCell ref="A6:A8"/>
    <mergeCell ref="A9:A11"/>
    <mergeCell ref="K3:K11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6F51-4618-46E7-B2DF-3CF89A6434EE}">
  <dimension ref="A1:I64"/>
  <sheetViews>
    <sheetView topLeftCell="A43" zoomScale="115" zoomScaleNormal="115" workbookViewId="0">
      <selection activeCell="B66" sqref="B66"/>
    </sheetView>
  </sheetViews>
  <sheetFormatPr defaultRowHeight="13.8" x14ac:dyDescent="0.25"/>
  <cols>
    <col min="1" max="1" width="21" customWidth="1"/>
    <col min="2" max="3" width="27.109375" customWidth="1"/>
    <col min="4" max="4" width="11.109375" customWidth="1"/>
    <col min="5" max="5" width="18.21875" customWidth="1"/>
  </cols>
  <sheetData>
    <row r="1" spans="1:9" x14ac:dyDescent="0.25">
      <c r="A1" s="53" t="s">
        <v>79</v>
      </c>
      <c r="B1" s="54"/>
      <c r="C1" s="55"/>
      <c r="D1" s="44"/>
      <c r="E1" s="44"/>
      <c r="F1" s="44"/>
      <c r="G1" s="44"/>
      <c r="H1" s="44"/>
      <c r="I1" s="44"/>
    </row>
    <row r="2" spans="1:9" x14ac:dyDescent="0.25">
      <c r="A2" s="52" t="s">
        <v>80</v>
      </c>
      <c r="B2" s="48" t="s">
        <v>81</v>
      </c>
      <c r="C2" s="49" t="s">
        <v>94</v>
      </c>
      <c r="D2" s="44"/>
      <c r="E2" s="44"/>
      <c r="F2" s="44"/>
      <c r="G2" s="44"/>
      <c r="H2" s="44"/>
      <c r="I2" s="44"/>
    </row>
    <row r="3" spans="1:9" s="44" customFormat="1" x14ac:dyDescent="0.25">
      <c r="A3" s="42" t="s">
        <v>91</v>
      </c>
      <c r="B3" s="50" t="s">
        <v>92</v>
      </c>
      <c r="C3" s="45">
        <v>80.81</v>
      </c>
    </row>
    <row r="4" spans="1:9" s="44" customFormat="1" x14ac:dyDescent="0.25">
      <c r="A4" s="42" t="s">
        <v>91</v>
      </c>
      <c r="B4" s="50" t="s">
        <v>93</v>
      </c>
      <c r="C4" s="45">
        <v>179.05</v>
      </c>
    </row>
    <row r="5" spans="1:9" x14ac:dyDescent="0.25">
      <c r="A5" s="42" t="s">
        <v>82</v>
      </c>
      <c r="B5" s="50" t="s">
        <v>83</v>
      </c>
      <c r="C5" s="45">
        <v>175.47</v>
      </c>
      <c r="D5" s="44"/>
      <c r="E5" s="44"/>
      <c r="F5" s="44"/>
      <c r="G5" s="44"/>
      <c r="H5" s="44"/>
      <c r="I5" s="44"/>
    </row>
    <row r="6" spans="1:9" x14ac:dyDescent="0.25">
      <c r="A6" s="42" t="s">
        <v>84</v>
      </c>
      <c r="B6" s="50" t="s">
        <v>85</v>
      </c>
      <c r="C6" s="45">
        <v>179.04</v>
      </c>
      <c r="D6" s="44"/>
      <c r="E6" s="44"/>
      <c r="F6" s="44"/>
      <c r="G6" s="44"/>
      <c r="H6" s="44"/>
      <c r="I6" s="44"/>
    </row>
    <row r="7" spans="1:9" x14ac:dyDescent="0.25">
      <c r="A7" s="42" t="s">
        <v>86</v>
      </c>
      <c r="B7" s="50" t="s">
        <v>87</v>
      </c>
      <c r="C7" s="45">
        <v>176.26</v>
      </c>
      <c r="D7" s="44"/>
      <c r="E7" s="44"/>
      <c r="F7" s="44"/>
      <c r="G7" s="44"/>
      <c r="H7" s="44"/>
      <c r="I7" s="44"/>
    </row>
    <row r="8" spans="1:9" x14ac:dyDescent="0.25">
      <c r="A8" s="42" t="s">
        <v>88</v>
      </c>
      <c r="B8" s="50" t="s">
        <v>89</v>
      </c>
      <c r="C8" s="45">
        <v>204.05</v>
      </c>
      <c r="D8" s="44"/>
      <c r="E8" s="44"/>
      <c r="F8" s="44"/>
      <c r="G8" s="44"/>
      <c r="H8" s="44"/>
      <c r="I8" s="44"/>
    </row>
    <row r="9" spans="1:9" s="43" customFormat="1" x14ac:dyDescent="0.25">
      <c r="A9" s="51" t="s">
        <v>32</v>
      </c>
      <c r="B9" s="46" t="s">
        <v>90</v>
      </c>
      <c r="C9" s="47">
        <v>200.86</v>
      </c>
      <c r="D9" s="44"/>
      <c r="E9" s="44"/>
      <c r="F9" s="44"/>
      <c r="G9" s="44"/>
      <c r="H9" s="44"/>
      <c r="I9" s="44"/>
    </row>
    <row r="10" spans="1:9" s="43" customFormat="1" x14ac:dyDescent="0.25"/>
    <row r="11" spans="1:9" s="43" customFormat="1" x14ac:dyDescent="0.25">
      <c r="A11" s="56" t="s">
        <v>96</v>
      </c>
    </row>
    <row r="15" spans="1:9" x14ac:dyDescent="0.25">
      <c r="A15" s="57" t="s">
        <v>33</v>
      </c>
      <c r="B15" s="58"/>
      <c r="C15" s="58"/>
      <c r="D15" s="58"/>
      <c r="E15" s="58"/>
    </row>
    <row r="16" spans="1:9" x14ac:dyDescent="0.25">
      <c r="A16" s="52" t="s">
        <v>1</v>
      </c>
      <c r="B16" s="61" t="s">
        <v>0</v>
      </c>
      <c r="C16" s="61" t="s">
        <v>31</v>
      </c>
      <c r="D16" s="59" t="s">
        <v>112</v>
      </c>
      <c r="E16" s="68" t="s">
        <v>113</v>
      </c>
    </row>
    <row r="17" spans="1:5" x14ac:dyDescent="0.25">
      <c r="A17" s="12" t="s">
        <v>2</v>
      </c>
      <c r="B17" s="61">
        <v>6</v>
      </c>
      <c r="C17" s="61">
        <v>60</v>
      </c>
      <c r="D17" s="62">
        <v>183.65</v>
      </c>
      <c r="E17" s="63" t="s">
        <v>97</v>
      </c>
    </row>
    <row r="18" spans="1:5" x14ac:dyDescent="0.25">
      <c r="A18" s="13"/>
      <c r="B18" s="50">
        <v>8</v>
      </c>
      <c r="C18" s="50">
        <v>60</v>
      </c>
      <c r="D18" s="64">
        <v>182.68</v>
      </c>
      <c r="E18" s="65" t="s">
        <v>98</v>
      </c>
    </row>
    <row r="19" spans="1:5" x14ac:dyDescent="0.25">
      <c r="A19" s="14"/>
      <c r="B19" s="60">
        <v>10</v>
      </c>
      <c r="C19" s="60">
        <v>60</v>
      </c>
      <c r="D19" s="66">
        <v>182.72</v>
      </c>
      <c r="E19" s="67" t="s">
        <v>99</v>
      </c>
    </row>
    <row r="20" spans="1:5" x14ac:dyDescent="0.25">
      <c r="A20" s="12" t="s">
        <v>3</v>
      </c>
      <c r="B20" s="61">
        <v>6</v>
      </c>
      <c r="C20" s="61">
        <v>60</v>
      </c>
      <c r="D20" s="62">
        <v>183.27</v>
      </c>
      <c r="E20" s="63" t="s">
        <v>100</v>
      </c>
    </row>
    <row r="21" spans="1:5" x14ac:dyDescent="0.25">
      <c r="A21" s="13"/>
      <c r="B21" s="50">
        <v>8</v>
      </c>
      <c r="C21" s="50">
        <v>60</v>
      </c>
      <c r="D21" s="64">
        <v>184.68</v>
      </c>
      <c r="E21" s="65" t="s">
        <v>101</v>
      </c>
    </row>
    <row r="22" spans="1:5" x14ac:dyDescent="0.25">
      <c r="A22" s="14"/>
      <c r="B22" s="60">
        <v>10</v>
      </c>
      <c r="C22" s="60">
        <v>60</v>
      </c>
      <c r="D22" s="66">
        <v>183.87</v>
      </c>
      <c r="E22" s="67" t="s">
        <v>102</v>
      </c>
    </row>
    <row r="23" spans="1:5" x14ac:dyDescent="0.25">
      <c r="A23" s="16" t="s">
        <v>4</v>
      </c>
      <c r="B23" s="41">
        <v>6</v>
      </c>
      <c r="C23" s="61">
        <v>40</v>
      </c>
      <c r="D23" s="62">
        <v>183.26</v>
      </c>
      <c r="E23" s="63" t="s">
        <v>103</v>
      </c>
    </row>
    <row r="24" spans="1:5" x14ac:dyDescent="0.25">
      <c r="A24" s="16"/>
      <c r="B24" s="69"/>
      <c r="C24" s="50">
        <v>60</v>
      </c>
      <c r="D24" s="64">
        <v>180.34</v>
      </c>
      <c r="E24" s="65" t="s">
        <v>104</v>
      </c>
    </row>
    <row r="25" spans="1:5" x14ac:dyDescent="0.25">
      <c r="A25" s="16"/>
      <c r="B25" s="70"/>
      <c r="C25" s="60">
        <v>80</v>
      </c>
      <c r="D25" s="66">
        <v>184.61</v>
      </c>
      <c r="E25" s="67" t="s">
        <v>105</v>
      </c>
    </row>
    <row r="26" spans="1:5" x14ac:dyDescent="0.25">
      <c r="A26" s="16"/>
      <c r="B26" s="71">
        <v>8</v>
      </c>
      <c r="C26" s="61">
        <v>40</v>
      </c>
      <c r="D26" s="62">
        <v>179.44</v>
      </c>
      <c r="E26" s="63" t="s">
        <v>106</v>
      </c>
    </row>
    <row r="27" spans="1:5" x14ac:dyDescent="0.25">
      <c r="A27" s="16"/>
      <c r="B27" s="70"/>
      <c r="C27" s="50">
        <v>60</v>
      </c>
      <c r="D27" s="64">
        <v>186.46</v>
      </c>
      <c r="E27" s="65" t="s">
        <v>107</v>
      </c>
    </row>
    <row r="28" spans="1:5" x14ac:dyDescent="0.25">
      <c r="A28" s="16"/>
      <c r="B28" s="70"/>
      <c r="C28" s="60">
        <v>80</v>
      </c>
      <c r="D28" s="66">
        <v>184.95</v>
      </c>
      <c r="E28" s="67" t="s">
        <v>108</v>
      </c>
    </row>
    <row r="29" spans="1:5" x14ac:dyDescent="0.25">
      <c r="A29" s="16"/>
      <c r="B29" s="41">
        <v>10</v>
      </c>
      <c r="C29" s="61">
        <v>40</v>
      </c>
      <c r="D29" s="62">
        <v>184.63</v>
      </c>
      <c r="E29" s="63" t="s">
        <v>109</v>
      </c>
    </row>
    <row r="30" spans="1:5" x14ac:dyDescent="0.25">
      <c r="A30" s="16"/>
      <c r="B30" s="69"/>
      <c r="C30" s="50">
        <v>60</v>
      </c>
      <c r="D30" s="64">
        <v>184.14</v>
      </c>
      <c r="E30" s="65" t="s">
        <v>110</v>
      </c>
    </row>
    <row r="31" spans="1:5" x14ac:dyDescent="0.25">
      <c r="A31" s="17"/>
      <c r="B31" s="70"/>
      <c r="C31" s="60">
        <v>80</v>
      </c>
      <c r="D31" s="66">
        <v>183.86</v>
      </c>
      <c r="E31" s="67" t="s">
        <v>111</v>
      </c>
    </row>
    <row r="32" spans="1:5" x14ac:dyDescent="0.25">
      <c r="A32" t="s">
        <v>114</v>
      </c>
      <c r="D32" s="50"/>
      <c r="E32" s="50"/>
    </row>
    <row r="40" spans="1:5" x14ac:dyDescent="0.25">
      <c r="A40" s="57" t="s">
        <v>34</v>
      </c>
      <c r="B40" s="58"/>
      <c r="C40" s="58"/>
      <c r="D40" s="58"/>
      <c r="E40" s="58"/>
    </row>
    <row r="41" spans="1:5" x14ac:dyDescent="0.25">
      <c r="A41" s="52" t="s">
        <v>1</v>
      </c>
      <c r="B41" s="61" t="s">
        <v>0</v>
      </c>
      <c r="C41" s="61" t="s">
        <v>31</v>
      </c>
      <c r="D41" s="59" t="s">
        <v>112</v>
      </c>
      <c r="E41" s="68" t="s">
        <v>113</v>
      </c>
    </row>
    <row r="42" spans="1:5" x14ac:dyDescent="0.25">
      <c r="A42" s="12" t="s">
        <v>2</v>
      </c>
      <c r="B42" s="76">
        <v>6</v>
      </c>
      <c r="C42" s="76">
        <v>60</v>
      </c>
      <c r="D42" s="72">
        <v>179.29</v>
      </c>
      <c r="E42" s="63" t="s">
        <v>115</v>
      </c>
    </row>
    <row r="43" spans="1:5" x14ac:dyDescent="0.25">
      <c r="A43" s="13"/>
      <c r="B43" s="50">
        <v>8</v>
      </c>
      <c r="C43" s="50">
        <v>60</v>
      </c>
      <c r="D43" s="78">
        <v>177.13</v>
      </c>
      <c r="E43" s="65" t="s">
        <v>116</v>
      </c>
    </row>
    <row r="44" spans="1:5" x14ac:dyDescent="0.25">
      <c r="A44" s="14"/>
      <c r="B44" s="74">
        <v>10</v>
      </c>
      <c r="C44" s="74">
        <v>60</v>
      </c>
      <c r="D44" s="79">
        <v>177.18</v>
      </c>
      <c r="E44" s="67" t="s">
        <v>117</v>
      </c>
    </row>
    <row r="45" spans="1:5" x14ac:dyDescent="0.25">
      <c r="A45" s="12" t="s">
        <v>3</v>
      </c>
      <c r="B45" s="76">
        <v>6</v>
      </c>
      <c r="C45" s="76">
        <v>60</v>
      </c>
      <c r="D45" s="72">
        <v>172.63</v>
      </c>
      <c r="E45" s="63" t="s">
        <v>118</v>
      </c>
    </row>
    <row r="46" spans="1:5" x14ac:dyDescent="0.25">
      <c r="A46" s="13"/>
      <c r="B46" s="50">
        <v>8</v>
      </c>
      <c r="C46" s="50">
        <v>60</v>
      </c>
      <c r="D46" s="78">
        <v>177.64</v>
      </c>
      <c r="E46" s="65" t="s">
        <v>119</v>
      </c>
    </row>
    <row r="47" spans="1:5" x14ac:dyDescent="0.25">
      <c r="A47" s="14"/>
      <c r="B47" s="74">
        <v>10</v>
      </c>
      <c r="C47" s="74">
        <v>60</v>
      </c>
      <c r="D47" s="79">
        <v>177.6</v>
      </c>
      <c r="E47" s="67" t="s">
        <v>120</v>
      </c>
    </row>
    <row r="48" spans="1:5" x14ac:dyDescent="0.25">
      <c r="A48" s="16" t="s">
        <v>4</v>
      </c>
      <c r="B48" s="41">
        <v>6</v>
      </c>
      <c r="C48" s="76">
        <v>40</v>
      </c>
      <c r="D48" s="72">
        <v>172.33</v>
      </c>
      <c r="E48" s="63" t="s">
        <v>121</v>
      </c>
    </row>
    <row r="49" spans="1:5" x14ac:dyDescent="0.25">
      <c r="A49" s="16"/>
      <c r="B49" s="69"/>
      <c r="C49" s="50">
        <v>60</v>
      </c>
      <c r="D49" s="78">
        <v>172.65</v>
      </c>
      <c r="E49" s="65" t="s">
        <v>122</v>
      </c>
    </row>
    <row r="50" spans="1:5" x14ac:dyDescent="0.25">
      <c r="A50" s="16"/>
      <c r="B50" s="70"/>
      <c r="C50" s="74">
        <v>80</v>
      </c>
      <c r="D50" s="79">
        <v>172.51</v>
      </c>
      <c r="E50" s="67" t="s">
        <v>123</v>
      </c>
    </row>
    <row r="51" spans="1:5" x14ac:dyDescent="0.25">
      <c r="A51" s="16"/>
      <c r="B51" s="71">
        <v>8</v>
      </c>
      <c r="C51" s="76">
        <v>40</v>
      </c>
      <c r="D51" s="72">
        <v>178.94</v>
      </c>
      <c r="E51" s="63" t="s">
        <v>124</v>
      </c>
    </row>
    <row r="52" spans="1:5" x14ac:dyDescent="0.25">
      <c r="A52" s="16"/>
      <c r="B52" s="70"/>
      <c r="C52" s="50">
        <v>60</v>
      </c>
      <c r="D52" s="78">
        <v>175.85</v>
      </c>
      <c r="E52" s="65" t="s">
        <v>125</v>
      </c>
    </row>
    <row r="53" spans="1:5" x14ac:dyDescent="0.25">
      <c r="A53" s="16"/>
      <c r="B53" s="70"/>
      <c r="C53" s="74">
        <v>80</v>
      </c>
      <c r="D53" s="79">
        <v>178.39</v>
      </c>
      <c r="E53" s="67" t="s">
        <v>126</v>
      </c>
    </row>
    <row r="54" spans="1:5" x14ac:dyDescent="0.25">
      <c r="A54" s="16"/>
      <c r="B54" s="41">
        <v>10</v>
      </c>
      <c r="C54" s="76">
        <v>40</v>
      </c>
      <c r="D54" s="72">
        <v>177.8</v>
      </c>
      <c r="E54" s="63" t="s">
        <v>127</v>
      </c>
    </row>
    <row r="55" spans="1:5" x14ac:dyDescent="0.25">
      <c r="A55" s="16"/>
      <c r="B55" s="69"/>
      <c r="C55" s="50">
        <v>60</v>
      </c>
      <c r="D55" s="78">
        <v>177.43</v>
      </c>
      <c r="E55" s="65" t="s">
        <v>128</v>
      </c>
    </row>
    <row r="56" spans="1:5" x14ac:dyDescent="0.25">
      <c r="A56" s="17"/>
      <c r="B56" s="70"/>
      <c r="C56" s="74">
        <v>80</v>
      </c>
      <c r="D56" s="79">
        <v>177.64</v>
      </c>
      <c r="E56" s="67" t="s">
        <v>129</v>
      </c>
    </row>
    <row r="57" spans="1:5" x14ac:dyDescent="0.25">
      <c r="A57" t="s">
        <v>130</v>
      </c>
    </row>
    <row r="61" spans="1:5" x14ac:dyDescent="0.25">
      <c r="A61" s="21" t="s">
        <v>95</v>
      </c>
    </row>
    <row r="62" spans="1:5" x14ac:dyDescent="0.25">
      <c r="A62" t="s">
        <v>131</v>
      </c>
    </row>
    <row r="63" spans="1:5" x14ac:dyDescent="0.25">
      <c r="A63" t="s">
        <v>132</v>
      </c>
    </row>
    <row r="64" spans="1:5" x14ac:dyDescent="0.25">
      <c r="A64" t="s">
        <v>133</v>
      </c>
    </row>
  </sheetData>
  <mergeCells count="15">
    <mergeCell ref="A17:A19"/>
    <mergeCell ref="A20:A22"/>
    <mergeCell ref="B23:B25"/>
    <mergeCell ref="B26:B28"/>
    <mergeCell ref="A1:C1"/>
    <mergeCell ref="A15:E15"/>
    <mergeCell ref="A40:E40"/>
    <mergeCell ref="B29:B31"/>
    <mergeCell ref="A23:A31"/>
    <mergeCell ref="A42:A44"/>
    <mergeCell ref="A45:A47"/>
    <mergeCell ref="A48:A56"/>
    <mergeCell ref="B48:B50"/>
    <mergeCell ref="B51:B53"/>
    <mergeCell ref="B54:B5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方案对比</vt:lpstr>
      <vt:lpstr>物理层参数</vt:lpstr>
      <vt:lpstr>功耗测试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周小煜</dc:creator>
  <cp:lastModifiedBy>Yu Zhou</cp:lastModifiedBy>
  <dcterms:created xsi:type="dcterms:W3CDTF">2015-06-05T18:19:34Z</dcterms:created>
  <dcterms:modified xsi:type="dcterms:W3CDTF">2024-04-13T08:40:54Z</dcterms:modified>
</cp:coreProperties>
</file>