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8&amp;^$%\研究生\论文\组会\"/>
    </mc:Choice>
  </mc:AlternateContent>
  <xr:revisionPtr revIDLastSave="0" documentId="13_ncr:1_{27AE019C-8FE2-4689-83A7-C1EBDDA82FFF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方案对比" sheetId="2" r:id="rId1"/>
    <sheet name="物理层参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3" i="1"/>
  <c r="F3" i="1" s="1"/>
</calcChain>
</file>

<file path=xl/sharedStrings.xml><?xml version="1.0" encoding="utf-8"?>
<sst xmlns="http://schemas.openxmlformats.org/spreadsheetml/2006/main" count="54" uniqueCount="52">
  <si>
    <t>SF</t>
    <phoneticPr fontId="3" type="noConversion"/>
  </si>
  <si>
    <t>BW</t>
    <phoneticPr fontId="3" type="noConversion"/>
  </si>
  <si>
    <t>400kHz</t>
    <phoneticPr fontId="3" type="noConversion"/>
  </si>
  <si>
    <t>800kHz</t>
    <phoneticPr fontId="3" type="noConversion"/>
  </si>
  <si>
    <t>1.6MHz</t>
    <phoneticPr fontId="3" type="noConversion"/>
  </si>
  <si>
    <t>备注：</t>
    <phoneticPr fontId="3" type="noConversion"/>
  </si>
  <si>
    <t>MAC层</t>
    <phoneticPr fontId="3" type="noConversion"/>
  </si>
  <si>
    <t>交换次数</t>
    <phoneticPr fontId="3" type="noConversion"/>
  </si>
  <si>
    <t>负载量</t>
    <phoneticPr fontId="3" type="noConversion"/>
  </si>
  <si>
    <t>功耗</t>
    <phoneticPr fontId="3" type="noConversion"/>
  </si>
  <si>
    <t>方案一</t>
    <phoneticPr fontId="3" type="noConversion"/>
  </si>
  <si>
    <t>方案二</t>
    <phoneticPr fontId="3" type="noConversion"/>
  </si>
  <si>
    <t>基站发起</t>
    <phoneticPr fontId="3" type="noConversion"/>
  </si>
  <si>
    <t>ALOHA</t>
    <phoneticPr fontId="3" type="noConversion"/>
  </si>
  <si>
    <t>终端发起</t>
    <phoneticPr fontId="3" type="noConversion"/>
  </si>
  <si>
    <t>优点</t>
    <phoneticPr fontId="3" type="noConversion"/>
  </si>
  <si>
    <t>缺点</t>
    <phoneticPr fontId="3" type="noConversion"/>
  </si>
  <si>
    <t xml:space="preserve">发起方式 </t>
    <phoneticPr fontId="3" type="noConversion"/>
  </si>
  <si>
    <t>10s内可完成测距设备数</t>
    <phoneticPr fontId="3" type="noConversion"/>
  </si>
  <si>
    <t>方案</t>
    <phoneticPr fontId="3" type="noConversion"/>
  </si>
  <si>
    <t>MAC协议</t>
    <phoneticPr fontId="3" type="noConversion"/>
  </si>
  <si>
    <t xml:space="preserve">CSMA </t>
    <phoneticPr fontId="3" type="noConversion"/>
  </si>
  <si>
    <t xml:space="preserve"> </t>
    <phoneticPr fontId="3" type="noConversion"/>
  </si>
  <si>
    <t>方案三</t>
    <phoneticPr fontId="3" type="noConversion"/>
  </si>
  <si>
    <t>实时性</t>
    <phoneticPr fontId="3" type="noConversion"/>
  </si>
  <si>
    <t>物理层参数</t>
    <phoneticPr fontId="3" type="noConversion"/>
  </si>
  <si>
    <t>最大上限待实测
＞200m通信要求</t>
    <phoneticPr fontId="3" type="noConversion"/>
  </si>
  <si>
    <t>1.集中控制
2.减少冲突</t>
    <phoneticPr fontId="3" type="noConversion"/>
  </si>
  <si>
    <t xml:space="preserve"> 1.基站负担大
2.延时</t>
    <phoneticPr fontId="3" type="noConversion"/>
  </si>
  <si>
    <t>1.终端功耗增加
2.中等冲突概率</t>
    <phoneticPr fontId="3" type="noConversion"/>
  </si>
  <si>
    <t>1.高冲突概率
2.效率低</t>
    <phoneticPr fontId="3" type="noConversion"/>
  </si>
  <si>
    <t xml:space="preserve"> 1.简单
2.自主性强</t>
    <phoneticPr fontId="3" type="noConversion"/>
  </si>
  <si>
    <t>1.负载分散
2.减少冲突
3.自主性强</t>
    <phoneticPr fontId="3" type="noConversion"/>
  </si>
  <si>
    <t>中等，取决于基站处理能力和轮询效率</t>
    <phoneticPr fontId="3" type="noConversion"/>
  </si>
  <si>
    <t>中等，受基站处理能力限制。</t>
    <phoneticPr fontId="3" type="noConversion"/>
  </si>
  <si>
    <t>需部署基站个数</t>
    <phoneticPr fontId="3" type="noConversion"/>
  </si>
  <si>
    <t>较少，但需高性能。</t>
    <phoneticPr fontId="3" type="noConversion"/>
  </si>
  <si>
    <t>基站功耗较高，终端相对较低。</t>
    <phoneticPr fontId="3" type="noConversion"/>
  </si>
  <si>
    <t>较高，因终端控制通信启动。</t>
    <phoneticPr fontId="3" type="noConversion"/>
  </si>
  <si>
    <t>较高，但受信道冲突影响</t>
    <phoneticPr fontId="3" type="noConversion"/>
  </si>
  <si>
    <t>可根据覆盖需求调整。</t>
    <phoneticPr fontId="3" type="noConversion"/>
  </si>
  <si>
    <t>终端功耗增加，基站相对减少。</t>
    <phoneticPr fontId="3" type="noConversion"/>
  </si>
  <si>
    <t>较低，因冲突和重传导致延时增加。</t>
    <phoneticPr fontId="3" type="noConversion"/>
  </si>
  <si>
    <t>低，高冲突率限制了网络负载能力</t>
    <phoneticPr fontId="3" type="noConversion"/>
  </si>
  <si>
    <t>需要多基站，提供重传支持。</t>
    <phoneticPr fontId="3" type="noConversion"/>
  </si>
  <si>
    <t>终端重传增多功耗增加，基站处理重传也功耗增加</t>
    <phoneticPr fontId="3" type="noConversion"/>
  </si>
  <si>
    <t>通信距离</t>
    <phoneticPr fontId="3" type="noConversion"/>
  </si>
  <si>
    <t>测距总耗时（ms）</t>
    <phoneticPr fontId="3" type="noConversion"/>
  </si>
  <si>
    <t>单次测距耗时(ms)</t>
    <phoneticPr fontId="3" type="noConversion"/>
  </si>
  <si>
    <t>注：上表绿色部分表示方案中选择的参数</t>
    <phoneticPr fontId="3" type="noConversion"/>
  </si>
  <si>
    <t>2.官方文档指出，在测距操作中，空中交换时间只与SF和BW有关，与CR无关（因为与有效负载长度部分无关），其计算的基本公式为</t>
    <phoneticPr fontId="3" type="noConversion"/>
  </si>
  <si>
    <t>1.交互次数可变，目前官方设定为60次，次数与准确度的关系见下图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</si>
</sst>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8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/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176" fontId="0" fillId="0" borderId="3" xfId="0" applyNumberFormat="1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176" fontId="0" fillId="0" borderId="9" xfId="0" applyNumberFormat="1" applyBorder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8" xfId="1" applyBorder="1" applyAlignment="1"/>
    <xf numFmtId="176" fontId="1" fillId="2" borderId="9" xfId="1" applyNumberFormat="1" applyBorder="1" applyAlignment="1"/>
    <xf numFmtId="0" fontId="1" fillId="2" borderId="0" xfId="1" applyBorder="1" applyAlignment="1"/>
    <xf numFmtId="176" fontId="1" fillId="2" borderId="3" xfId="1" applyNumberFormat="1" applyBorder="1" applyAlignment="1"/>
    <xf numFmtId="0" fontId="1" fillId="2" borderId="7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176" fontId="2" fillId="0" borderId="6" xfId="2" applyNumberFormat="1" applyFill="1" applyBorder="1" applyAlignment="1"/>
    <xf numFmtId="176" fontId="2" fillId="0" borderId="3" xfId="2" applyNumberFormat="1" applyFill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145112</xdr:colOff>
      <xdr:row>16</xdr:row>
      <xdr:rowOff>142221</xdr:rowOff>
    </xdr:from>
    <xdr:to>
      <xdr:col>10</xdr:col>
      <xdr:colOff>181886</xdr:colOff>
      <xdr:row>21</xdr:row>
      <xdr:rowOff>107568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93AFCF9-9C61-61BB-E5E3-A977AF24D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1825" y="2918551"/>
          <a:ext cx="2389035" cy="826739"/>
        </a:xfrm>
        <a:prstGeom prst="rect">
          <a:avLst/>
        </a:prstGeom>
      </xdr:spPr>
    </xdr:pic>
    <xdr:clientData/>
  </xdr:twoCellAnchor>
  <xdr:twoCellAnchor editAs="oneCell">
    <xdr:from>
      <xdr:col>0</xdr:col>
      <xdr:colOff>69905</xdr:colOff>
      <xdr:row>22</xdr:row>
      <xdr:rowOff>14909</xdr:rowOff>
    </xdr:from>
    <xdr:to>
      <xdr:col>4</xdr:col>
      <xdr:colOff>742122</xdr:colOff>
      <xdr:row>39</xdr:row>
      <xdr:rowOff>23428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7BDCE71-3D93-494E-98C2-6733742A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05" y="3824909"/>
          <a:ext cx="3793104" cy="293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536A-5903-41A6-8251-45C9AF7318ED}">
  <dimension ref="A1:I11"/>
  <sheetViews>
    <sheetView workbookViewId="0">
      <selection activeCell="C43" sqref="C43"/>
    </sheetView>
  </sheetViews>
  <sheetFormatPr defaultRowHeight="13.8" x14ac:dyDescent="0.25"/>
  <cols>
    <col min="1" max="1" width="7.5546875" style="8" bestFit="1" customWidth="1"/>
    <col min="2" max="2" width="10.109375" style="8" bestFit="1" customWidth="1"/>
    <col min="3" max="3" width="10" style="8" bestFit="1" customWidth="1"/>
    <col min="4" max="4" width="38" style="8" bestFit="1" customWidth="1"/>
    <col min="5" max="5" width="33.6640625" style="8" bestFit="1" customWidth="1"/>
    <col min="6" max="6" width="29.21875" style="8" bestFit="1" customWidth="1"/>
    <col min="7" max="7" width="49" style="8" customWidth="1"/>
    <col min="8" max="8" width="21" style="8" customWidth="1"/>
    <col min="9" max="9" width="18.88671875" style="8" customWidth="1"/>
    <col min="10" max="16384" width="8.88671875" style="8"/>
  </cols>
  <sheetData>
    <row r="1" spans="1:9" s="5" customFormat="1" ht="21.6" customHeight="1" x14ac:dyDescent="0.3">
      <c r="A1" s="4" t="s">
        <v>19</v>
      </c>
      <c r="B1" s="4" t="s">
        <v>17</v>
      </c>
      <c r="C1" s="4" t="s">
        <v>20</v>
      </c>
      <c r="D1" s="4" t="s">
        <v>24</v>
      </c>
      <c r="E1" s="4" t="s">
        <v>8</v>
      </c>
      <c r="F1" s="4" t="s">
        <v>35</v>
      </c>
      <c r="G1" s="4" t="s">
        <v>9</v>
      </c>
      <c r="H1" s="4" t="s">
        <v>15</v>
      </c>
      <c r="I1" s="4" t="s">
        <v>16</v>
      </c>
    </row>
    <row r="2" spans="1:9" x14ac:dyDescent="0.25">
      <c r="A2" s="6" t="s">
        <v>10</v>
      </c>
      <c r="B2" s="6" t="s">
        <v>12</v>
      </c>
      <c r="C2" s="6" t="s">
        <v>21</v>
      </c>
      <c r="D2" s="6" t="s">
        <v>33</v>
      </c>
      <c r="E2" s="6" t="s">
        <v>34</v>
      </c>
      <c r="F2" s="6" t="s">
        <v>36</v>
      </c>
      <c r="G2" s="6" t="s">
        <v>37</v>
      </c>
      <c r="H2" s="7" t="s">
        <v>27</v>
      </c>
      <c r="I2" s="7" t="s">
        <v>28</v>
      </c>
    </row>
    <row r="3" spans="1:9" x14ac:dyDescent="0.25">
      <c r="A3" s="6"/>
      <c r="B3" s="6"/>
      <c r="C3" s="6"/>
      <c r="D3" s="6"/>
      <c r="E3" s="6"/>
      <c r="F3" s="6"/>
      <c r="G3" s="6"/>
      <c r="H3" s="7"/>
      <c r="I3" s="7"/>
    </row>
    <row r="4" spans="1:9" x14ac:dyDescent="0.25">
      <c r="A4" s="6"/>
      <c r="B4" s="6"/>
      <c r="C4" s="6"/>
      <c r="D4" s="6"/>
      <c r="E4" s="6"/>
      <c r="F4" s="6"/>
      <c r="G4" s="6"/>
      <c r="H4" s="7"/>
      <c r="I4" s="7"/>
    </row>
    <row r="5" spans="1:9" x14ac:dyDescent="0.25">
      <c r="A5" s="6" t="s">
        <v>11</v>
      </c>
      <c r="B5" s="6" t="s">
        <v>14</v>
      </c>
      <c r="C5" s="6" t="s">
        <v>21</v>
      </c>
      <c r="D5" s="6" t="s">
        <v>38</v>
      </c>
      <c r="E5" s="6" t="s">
        <v>39</v>
      </c>
      <c r="F5" s="6" t="s">
        <v>40</v>
      </c>
      <c r="G5" s="6" t="s">
        <v>41</v>
      </c>
      <c r="H5" s="7" t="s">
        <v>32</v>
      </c>
      <c r="I5" s="7" t="s">
        <v>29</v>
      </c>
    </row>
    <row r="6" spans="1:9" x14ac:dyDescent="0.25">
      <c r="A6" s="6"/>
      <c r="B6" s="6"/>
      <c r="C6" s="6"/>
      <c r="D6" s="6"/>
      <c r="E6" s="6"/>
      <c r="F6" s="6"/>
      <c r="G6" s="6"/>
      <c r="H6" s="7"/>
      <c r="I6" s="7"/>
    </row>
    <row r="7" spans="1:9" x14ac:dyDescent="0.25">
      <c r="A7" s="6"/>
      <c r="B7" s="6"/>
      <c r="C7" s="6"/>
      <c r="D7" s="6"/>
      <c r="E7" s="6"/>
      <c r="F7" s="6"/>
      <c r="G7" s="6"/>
      <c r="H7" s="7"/>
      <c r="I7" s="7"/>
    </row>
    <row r="8" spans="1:9" x14ac:dyDescent="0.25">
      <c r="A8" s="6" t="s">
        <v>23</v>
      </c>
      <c r="B8" s="6" t="s">
        <v>14</v>
      </c>
      <c r="C8" s="6" t="s">
        <v>13</v>
      </c>
      <c r="D8" s="6" t="s">
        <v>42</v>
      </c>
      <c r="E8" s="6" t="s">
        <v>43</v>
      </c>
      <c r="F8" s="6" t="s">
        <v>44</v>
      </c>
      <c r="G8" s="6" t="s">
        <v>45</v>
      </c>
      <c r="H8" s="7" t="s">
        <v>31</v>
      </c>
      <c r="I8" s="7" t="s">
        <v>30</v>
      </c>
    </row>
    <row r="9" spans="1:9" x14ac:dyDescent="0.25">
      <c r="A9" s="6"/>
      <c r="B9" s="6"/>
      <c r="C9" s="6"/>
      <c r="D9" s="6"/>
      <c r="E9" s="6"/>
      <c r="F9" s="6"/>
      <c r="G9" s="6"/>
      <c r="H9" s="7"/>
      <c r="I9" s="7"/>
    </row>
    <row r="10" spans="1:9" x14ac:dyDescent="0.25">
      <c r="A10" s="6"/>
      <c r="B10" s="6"/>
      <c r="C10" s="6"/>
      <c r="D10" s="6"/>
      <c r="E10" s="6"/>
      <c r="F10" s="6"/>
      <c r="G10" s="6"/>
      <c r="H10" s="7"/>
      <c r="I10" s="7"/>
    </row>
    <row r="11" spans="1:9" x14ac:dyDescent="0.25">
      <c r="A11" s="9"/>
    </row>
  </sheetData>
  <mergeCells count="27">
    <mergeCell ref="F8:F10"/>
    <mergeCell ref="G8:G10"/>
    <mergeCell ref="F5:F7"/>
    <mergeCell ref="G5:G7"/>
    <mergeCell ref="A8:A10"/>
    <mergeCell ref="B8:B10"/>
    <mergeCell ref="C8:C10"/>
    <mergeCell ref="H8:H10"/>
    <mergeCell ref="I8:I10"/>
    <mergeCell ref="D8:D10"/>
    <mergeCell ref="E8:E10"/>
    <mergeCell ref="E2:E4"/>
    <mergeCell ref="F2:F4"/>
    <mergeCell ref="G2:G4"/>
    <mergeCell ref="A5:A7"/>
    <mergeCell ref="B5:B7"/>
    <mergeCell ref="C5:C7"/>
    <mergeCell ref="H5:H7"/>
    <mergeCell ref="I5:I7"/>
    <mergeCell ref="D5:D7"/>
    <mergeCell ref="E5:E7"/>
    <mergeCell ref="A2:A4"/>
    <mergeCell ref="B2:B4"/>
    <mergeCell ref="C2:C4"/>
    <mergeCell ref="H2:H4"/>
    <mergeCell ref="I2:I4"/>
    <mergeCell ref="D2:D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115" zoomScaleNormal="115" workbookViewId="0">
      <selection activeCell="B47" sqref="B47"/>
    </sheetView>
  </sheetViews>
  <sheetFormatPr defaultRowHeight="13.8" x14ac:dyDescent="0.25"/>
  <cols>
    <col min="2" max="2" width="8.88671875" customWidth="1"/>
    <col min="3" max="3" width="17.109375" customWidth="1"/>
    <col min="4" max="4" width="10.6640625" customWidth="1"/>
    <col min="5" max="5" width="19" customWidth="1"/>
    <col min="6" max="6" width="28" customWidth="1"/>
    <col min="7" max="7" width="26.33203125" customWidth="1"/>
    <col min="8" max="8" width="12.77734375" customWidth="1"/>
    <col min="9" max="9" width="12.6640625" customWidth="1"/>
    <col min="10" max="10" width="8.88671875" customWidth="1"/>
    <col min="11" max="11" width="10" customWidth="1"/>
    <col min="12" max="12" width="27.6640625" hidden="1" customWidth="1"/>
    <col min="13" max="14" width="27.6640625" customWidth="1"/>
    <col min="15" max="16" width="20.88671875" customWidth="1"/>
    <col min="17" max="17" width="14" customWidth="1"/>
  </cols>
  <sheetData>
    <row r="1" spans="1:12" x14ac:dyDescent="0.25">
      <c r="A1" s="10" t="s">
        <v>25</v>
      </c>
      <c r="B1" s="10"/>
      <c r="C1" s="10"/>
      <c r="D1" s="10"/>
      <c r="E1" s="10"/>
      <c r="F1" s="10"/>
      <c r="G1" s="10"/>
      <c r="H1" s="2"/>
      <c r="L1" t="s">
        <v>6</v>
      </c>
    </row>
    <row r="2" spans="1:12" ht="15" customHeight="1" x14ac:dyDescent="0.25">
      <c r="A2" s="3" t="s">
        <v>1</v>
      </c>
      <c r="B2" s="3" t="s">
        <v>0</v>
      </c>
      <c r="C2" s="3" t="s">
        <v>48</v>
      </c>
      <c r="D2" s="3" t="s">
        <v>7</v>
      </c>
      <c r="E2" s="3" t="s">
        <v>47</v>
      </c>
      <c r="F2" s="3" t="s">
        <v>18</v>
      </c>
      <c r="G2" s="3" t="s">
        <v>46</v>
      </c>
    </row>
    <row r="3" spans="1:12" x14ac:dyDescent="0.25">
      <c r="A3" s="16" t="s">
        <v>2</v>
      </c>
      <c r="B3" s="17">
        <v>6</v>
      </c>
      <c r="C3" s="17">
        <v>24</v>
      </c>
      <c r="D3" s="17">
        <v>60</v>
      </c>
      <c r="E3" s="17">
        <f>C3*D3</f>
        <v>1440</v>
      </c>
      <c r="F3" s="18">
        <f>10*1000/E3</f>
        <v>6.9444444444444446</v>
      </c>
      <c r="G3" s="19" t="s">
        <v>26</v>
      </c>
    </row>
    <row r="4" spans="1:12" x14ac:dyDescent="0.25">
      <c r="A4" s="11"/>
      <c r="B4" s="12">
        <v>8</v>
      </c>
      <c r="C4" s="12">
        <v>96</v>
      </c>
      <c r="D4" s="12">
        <v>60</v>
      </c>
      <c r="E4" s="12">
        <f t="shared" ref="E4:E11" si="0">C4*D4</f>
        <v>5760</v>
      </c>
      <c r="F4" s="13">
        <f t="shared" ref="F4:F11" si="1">10*1000/E4</f>
        <v>1.7361111111111112</v>
      </c>
      <c r="G4" s="20"/>
    </row>
    <row r="5" spans="1:12" x14ac:dyDescent="0.25">
      <c r="A5" s="14"/>
      <c r="B5" s="15">
        <v>10</v>
      </c>
      <c r="C5" s="15">
        <v>384</v>
      </c>
      <c r="D5" s="15">
        <v>60</v>
      </c>
      <c r="E5" s="15">
        <f t="shared" si="0"/>
        <v>23040</v>
      </c>
      <c r="F5" s="29">
        <f t="shared" si="1"/>
        <v>0.43402777777777779</v>
      </c>
      <c r="G5" s="20"/>
    </row>
    <row r="6" spans="1:12" x14ac:dyDescent="0.25">
      <c r="A6" s="16" t="s">
        <v>3</v>
      </c>
      <c r="B6" s="17">
        <v>6</v>
      </c>
      <c r="C6" s="17">
        <v>12</v>
      </c>
      <c r="D6" s="17">
        <v>60</v>
      </c>
      <c r="E6" s="17">
        <f t="shared" si="0"/>
        <v>720</v>
      </c>
      <c r="F6" s="18">
        <f t="shared" si="1"/>
        <v>13.888888888888889</v>
      </c>
      <c r="G6" s="20"/>
    </row>
    <row r="7" spans="1:12" x14ac:dyDescent="0.25">
      <c r="A7" s="11"/>
      <c r="B7" s="12">
        <v>8</v>
      </c>
      <c r="C7" s="12">
        <v>48</v>
      </c>
      <c r="D7" s="12">
        <v>60</v>
      </c>
      <c r="E7" s="12">
        <f t="shared" si="0"/>
        <v>2880</v>
      </c>
      <c r="F7" s="30">
        <f t="shared" si="1"/>
        <v>3.4722222222222223</v>
      </c>
      <c r="G7" s="20"/>
    </row>
    <row r="8" spans="1:12" x14ac:dyDescent="0.25">
      <c r="A8" s="14"/>
      <c r="B8" s="15">
        <v>10</v>
      </c>
      <c r="C8" s="15">
        <v>192</v>
      </c>
      <c r="D8" s="15">
        <v>60</v>
      </c>
      <c r="E8" s="15">
        <f t="shared" si="0"/>
        <v>11520</v>
      </c>
      <c r="F8" s="29">
        <f t="shared" si="1"/>
        <v>0.86805555555555558</v>
      </c>
      <c r="G8" s="20"/>
    </row>
    <row r="9" spans="1:12" x14ac:dyDescent="0.25">
      <c r="A9" s="26" t="s">
        <v>4</v>
      </c>
      <c r="B9" s="22">
        <v>6</v>
      </c>
      <c r="C9" s="22">
        <v>6</v>
      </c>
      <c r="D9" s="22">
        <v>60</v>
      </c>
      <c r="E9" s="22">
        <f t="shared" si="0"/>
        <v>360</v>
      </c>
      <c r="F9" s="23">
        <f t="shared" si="1"/>
        <v>27.777777777777779</v>
      </c>
      <c r="G9" s="20"/>
    </row>
    <row r="10" spans="1:12" x14ac:dyDescent="0.25">
      <c r="A10" s="27"/>
      <c r="B10" s="24">
        <v>8</v>
      </c>
      <c r="C10" s="24">
        <v>24</v>
      </c>
      <c r="D10" s="24">
        <v>60</v>
      </c>
      <c r="E10" s="24">
        <f t="shared" si="0"/>
        <v>1440</v>
      </c>
      <c r="F10" s="25">
        <f t="shared" si="1"/>
        <v>6.9444444444444446</v>
      </c>
      <c r="G10" s="20"/>
    </row>
    <row r="11" spans="1:12" x14ac:dyDescent="0.25">
      <c r="A11" s="28"/>
      <c r="B11" s="15">
        <v>10</v>
      </c>
      <c r="C11" s="15">
        <v>96</v>
      </c>
      <c r="D11" s="15">
        <v>60</v>
      </c>
      <c r="E11" s="15">
        <f t="shared" si="0"/>
        <v>5760</v>
      </c>
      <c r="F11" s="29">
        <f t="shared" si="1"/>
        <v>1.7361111111111112</v>
      </c>
      <c r="G11" s="21"/>
    </row>
    <row r="14" spans="1:12" x14ac:dyDescent="0.25">
      <c r="A14" t="s">
        <v>49</v>
      </c>
    </row>
    <row r="17" spans="1:5" x14ac:dyDescent="0.25">
      <c r="A17" t="s">
        <v>5</v>
      </c>
    </row>
    <row r="18" spans="1:5" x14ac:dyDescent="0.25">
      <c r="A18" t="s">
        <v>51</v>
      </c>
    </row>
    <row r="19" spans="1:5" x14ac:dyDescent="0.25">
      <c r="A19" t="s">
        <v>50</v>
      </c>
    </row>
    <row r="25" spans="1:5" x14ac:dyDescent="0.25">
      <c r="A25" s="1"/>
      <c r="C25" t="s">
        <v>22</v>
      </c>
      <c r="D25" s="2"/>
      <c r="E25" s="2"/>
    </row>
  </sheetData>
  <mergeCells count="5">
    <mergeCell ref="A1:G1"/>
    <mergeCell ref="A3:A5"/>
    <mergeCell ref="A6:A8"/>
    <mergeCell ref="A9:A11"/>
    <mergeCell ref="G3:G1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方案对比</vt:lpstr>
      <vt:lpstr>物理层参数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周小煜</dc:creator>
  <cp:lastModifiedBy>Yu Zhou</cp:lastModifiedBy>
  <dcterms:created xsi:type="dcterms:W3CDTF">2015-06-05T18:19:34Z</dcterms:created>
  <dcterms:modified xsi:type="dcterms:W3CDTF">2024-04-10T08:54:45Z</dcterms:modified>
</cp:coreProperties>
</file>